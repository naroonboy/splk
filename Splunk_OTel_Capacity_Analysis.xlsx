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How To Use" sheetId="1" state="visible" r:id="rId3"/>
    <sheet name="📊 Dashboard" sheetId="2" state="visible" r:id="rId4"/>
    <sheet name="Server Inventory" sheetId="3" state="visible" r:id="rId5"/>
    <sheet name="Collector Metrics" sheetId="4" state="visible" r:id="rId6"/>
    <sheet name="Capacity 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<sst xmlns="http://schemas.openxmlformats.org/spreadsheetml/2006/main" count="213" uniqueCount="163">
  <si>
    <t xml:space="preserve">How To Use This Template</t>
  </si>
  <si>
    <t xml:space="preserve">STEP 1: Server Inventory sheet</t>
  </si>
  <si>
    <t xml:space="preserve">Add all your OTel collector nodes. For each node enter: Server name, vCPUs, RAM (GB), Avg CPU utilization %, Avg Memory utilization %. Pull CPU/Mem from Splunk IM, CloudWatch, or Prometheus node_exporter.</t>
  </si>
  <si>
    <t xml:space="preserve">STEP 2: Collector Metrics sheet</t>
  </si>
  <si>
    <t xml:space="preserve">For each collector node enter: Spans received/s, Spans exported/s (success), Spans dropped (from otelcol_exporter_enqueue_failed_spans metric), Queue capacity, Current queue size. Pull from OTel /metrics endpoint or Splunk APM.</t>
  </si>
  <si>
    <t xml:space="preserve">STEP 3: Capacity Model – Assumptions</t>
  </si>
  <si>
    <t xml:space="preserve">Review and adjust the blue assumption cells: target CPU %, target Mem %, expected span growth rate, max spans/s per node (benchmark from your environment), safety buffer, and new server specs (vCPU/RAM).</t>
  </si>
  <si>
    <t xml:space="preserve">STEP 4: Capacity Model – Results</t>
  </si>
  <si>
    <t xml:space="preserve">The model automatically calculates: Required nodes by throughput, CPU, and Memory; worst-case required fleet size; additional servers needed; and provides a recommendation with urgency level.</t>
  </si>
  <si>
    <t xml:space="preserve">STEP 5: Dashboard</t>
  </si>
  <si>
    <t xml:space="preserve">Review the executive summary. Share this tab with stakeholders. Red/yellow indicators signal immediate action. The recommendation row shows exactly how many servers to add.</t>
  </si>
  <si>
    <t xml:space="preserve">KEY METRICS: Where to get OTel metrics</t>
  </si>
  <si>
    <t xml:space="preserve">Enable Prometheus metrics on your collector (extensions &gt; health_check, service &gt; telemetry &gt; metrics). Key metrics: otelcol_exporter_sent_spans, otelcol_exporter_enqueue_failed_spans, otelcol_exporter_queue_size, otelcol_exporter_queue_capacity, otelcol_process_memory_rss, otelcol_process_cpu_seconds_total.</t>
  </si>
  <si>
    <t xml:space="preserve">OOM DROPS: Diagnosing exporter OOM drops</t>
  </si>
  <si>
    <t xml:space="preserve">OOM drops at the exporter level appear as otelcol_exporter_enqueue_failed_spans &gt; 0. Check if queue_size = queue_capacity (queue full). Increase sending_queue.queue_size in collector config or reduce batch size. If memory_rss is at node limit, the node is OOM – add servers.</t>
  </si>
  <si>
    <t xml:space="preserve">SPLUNK QUERIES: Useful SignalFx/Splunk IM queries</t>
  </si>
  <si>
    <t xml:space="preserve">CPU: rate(otelcol_process_cpu_seconds_total[5m]) * 100
Mem: otelcol_process_memory_rss / 1073741824 (GB)
Drop rate: rate(otelcol_exporter_enqueue_failed_spans[5m]) / (rate(otelcol_exporter_sent_spans[5m]) + rate(otelcol_exporter_enqueue_failed_spans[5m]))
Queue fill: otelcol_exporter_queue_size / otelcol_exporter_queue_capacity</t>
  </si>
  <si>
    <t xml:space="preserve">Splunk Observability Cloud – OTel Collector Capacity Analysis</t>
  </si>
  <si>
    <t xml:space="preserve">Executive Dashboard  |  Auto-calculated from 'Server Inventory' &amp; 'Collector Metrics' sheets</t>
  </si>
  <si>
    <t xml:space="preserve">FLEET HEALTH SUMMARY</t>
  </si>
  <si>
    <t xml:space="preserve">Metric</t>
  </si>
  <si>
    <t xml:space="preserve">Current Value</t>
  </si>
  <si>
    <t xml:space="preserve">Threshold</t>
  </si>
  <si>
    <t xml:space="preserve">Status</t>
  </si>
  <si>
    <t xml:space="preserve">Recommendation</t>
  </si>
  <si>
    <t xml:space="preserve">Total Collector Nodes</t>
  </si>
  <si>
    <t xml:space="preserve">—</t>
  </si>
  <si>
    <t xml:space="preserve">Avg CPU Utilization (%)</t>
  </si>
  <si>
    <t xml:space="preserve">70%</t>
  </si>
  <si>
    <t xml:space="preserve">Avg Memory Utilization (%)</t>
  </si>
  <si>
    <t xml:space="preserve">75%</t>
  </si>
  <si>
    <t xml:space="preserve">Total Spans/sec (Successful)</t>
  </si>
  <si>
    <t xml:space="preserve">Total OOM Drop Rate (%)</t>
  </si>
  <si>
    <t xml:space="preserve">0%</t>
  </si>
  <si>
    <t xml:space="preserve">Nodes at CPU Risk (&gt;70%)</t>
  </si>
  <si>
    <t xml:space="preserve">0</t>
  </si>
  <si>
    <t xml:space="preserve">Nodes at Memory Risk (&gt;75%)</t>
  </si>
  <si>
    <t xml:space="preserve">Additional Servers Needed</t>
  </si>
  <si>
    <t xml:space="preserve">KEY METRICS AT A GLANCE (Pull from Splunk / OTel Prometheus Endpoint)</t>
  </si>
  <si>
    <t xml:space="preserve">Metric Name</t>
  </si>
  <si>
    <t xml:space="preserve">Prometheus / Splunk Metric</t>
  </si>
  <si>
    <t xml:space="preserve">Unit</t>
  </si>
  <si>
    <t xml:space="preserve">Where to Find</t>
  </si>
  <si>
    <t xml:space="preserve">CPU Utilization</t>
  </si>
  <si>
    <t xml:space="preserve">otelcol_process_cpu_seconds_total (rate)</t>
  </si>
  <si>
    <t xml:space="preserve">%</t>
  </si>
  <si>
    <t xml:space="preserve">OTel Collector /metrics endpoint or host agent</t>
  </si>
  <si>
    <t xml:space="preserve">Memory Usage</t>
  </si>
  <si>
    <t xml:space="preserve">otelcol_process_memory_rss</t>
  </si>
  <si>
    <t xml:space="preserve">bytes</t>
  </si>
  <si>
    <t xml:space="preserve">OTel Collector /metrics endpoint</t>
  </si>
  <si>
    <t xml:space="preserve">Spans Sent (Success)</t>
  </si>
  <si>
    <t xml:space="preserve">otelcol_exporter_sent_spans</t>
  </si>
  <si>
    <t xml:space="preserve">spans/s</t>
  </si>
  <si>
    <t xml:space="preserve">Splunk: SignalFx exporter metric</t>
  </si>
  <si>
    <t xml:space="preserve">Spans Dropped (OOM)</t>
  </si>
  <si>
    <t xml:space="preserve">otelcol_exporter_enqueue_failed_spans</t>
  </si>
  <si>
    <t xml:space="preserve">spans</t>
  </si>
  <si>
    <t xml:space="preserve">Queue Capacity</t>
  </si>
  <si>
    <t xml:space="preserve">otelcol_exporter_queue_capacity</t>
  </si>
  <si>
    <t xml:space="preserve">items</t>
  </si>
  <si>
    <t xml:space="preserve">Queue Size (current)</t>
  </si>
  <si>
    <t xml:space="preserve">otelcol_exporter_queue_size</t>
  </si>
  <si>
    <t xml:space="preserve">Receiver Accepted</t>
  </si>
  <si>
    <t xml:space="preserve">otelcol_receiver_accepted_spans</t>
  </si>
  <si>
    <t xml:space="preserve">Receiver Refused</t>
  </si>
  <si>
    <t xml:space="preserve">otelcol_receiver_refused_spans</t>
  </si>
  <si>
    <t xml:space="preserve">Server Inventory &amp; Resource Utilization</t>
  </si>
  <si>
    <t xml:space="preserve">Enter data from monitoring tools (Splunk IM / Prometheus / CloudWatch). Blue cells = manual input.</t>
  </si>
  <si>
    <t xml:space="preserve">FLEET SUMMARY (Auto-calculated)</t>
  </si>
  <si>
    <t xml:space="preserve">Summary →</t>
  </si>
  <si>
    <t xml:space="preserve">Thresholds →</t>
  </si>
  <si>
    <t xml:space="preserve">← Adjust thresholds here</t>
  </si>
  <si>
    <t xml:space="preserve">Server / Node Name</t>
  </si>
  <si>
    <t xml:space="preserve">Environment</t>
  </si>
  <si>
    <t xml:space="preserve">vCPUs</t>
  </si>
  <si>
    <t xml:space="preserve">RAM (GB)</t>
  </si>
  <si>
    <t xml:space="preserve">Collector Version</t>
  </si>
  <si>
    <t xml:space="preserve">Pipelines</t>
  </si>
  <si>
    <t xml:space="preserve">CPU Util %</t>
  </si>
  <si>
    <t xml:space="preserve">Mem Util %</t>
  </si>
  <si>
    <t xml:space="preserve">CPU Status</t>
  </si>
  <si>
    <t xml:space="preserve">Mem Status</t>
  </si>
  <si>
    <t xml:space="preserve">Notes / Tags</t>
  </si>
  <si>
    <t xml:space="preserve">otel-collector-01</t>
  </si>
  <si>
    <t xml:space="preserve">Production</t>
  </si>
  <si>
    <t xml:space="preserve">0.96.0</t>
  </si>
  <si>
    <t xml:space="preserve">traces,metrics,logs</t>
  </si>
  <si>
    <t xml:space="preserve">otel-collector-02</t>
  </si>
  <si>
    <t xml:space="preserve">otel-collector-03</t>
  </si>
  <si>
    <t xml:space="preserve">traces</t>
  </si>
  <si>
    <t xml:space="preserve">otel-collector-04</t>
  </si>
  <si>
    <t xml:space="preserve">Staging</t>
  </si>
  <si>
    <t xml:space="preserve">0.95.0</t>
  </si>
  <si>
    <t xml:space="preserve">traces,metrics</t>
  </si>
  <si>
    <t xml:space="preserve">otel-collector-05</t>
  </si>
  <si>
    <t xml:space="preserve">OTel Collector – Span Metrics &amp; Drop Analysis</t>
  </si>
  <si>
    <t xml:space="preserve">Collect from: OTel /metrics endpoint | Splunk IM Dashboard | Prometheus scrape. Blue cells = input.</t>
  </si>
  <si>
    <t xml:space="preserve">FLEET-WIDE SPAN METRICS SUMMARY</t>
  </si>
  <si>
    <t xml:space="preserve">Server / Node</t>
  </si>
  <si>
    <t xml:space="preserve">Time Window</t>
  </si>
  <si>
    <t xml:space="preserve">Spans Received/s</t>
  </si>
  <si>
    <t xml:space="preserve">Spans Exported/s (Success)</t>
  </si>
  <si>
    <t xml:space="preserve">Spans Dropped (OOM/Queue)</t>
  </si>
  <si>
    <t xml:space="preserve">Drop Rate %</t>
  </si>
  <si>
    <t xml:space="preserve">Queue Size (Current)</t>
  </si>
  <si>
    <t xml:space="preserve">Queue Fill %</t>
  </si>
  <si>
    <t xml:space="preserve">Drop Reason</t>
  </si>
  <si>
    <t xml:space="preserve">Last 1h</t>
  </si>
  <si>
    <t xml:space="preserve">10000</t>
  </si>
  <si>
    <t xml:space="preserve">Capacity Planning Model – Additional Servers Required</t>
  </si>
  <si>
    <t xml:space="preserve">A. CURRENT STATE (Pulled from other sheets)</t>
  </si>
  <si>
    <t xml:space="preserve">Current number of collector nodes</t>
  </si>
  <si>
    <t xml:space="preserve">nodes</t>
  </si>
  <si>
    <t xml:space="preserve">Avg CPU utilization (current)</t>
  </si>
  <si>
    <t xml:space="preserve">Avg Memory utilization (current)</t>
  </si>
  <si>
    <t xml:space="preserve">Total spans/s successfully sent</t>
  </si>
  <si>
    <t xml:space="preserve">Total spans dropped (OOM/Queue)</t>
  </si>
  <si>
    <t xml:space="preserve">Fleet-wide drop rate</t>
  </si>
  <si>
    <t xml:space="preserve">B. CAPACITY PLANNING ASSUMPTIONS  (Blue = editable)</t>
  </si>
  <si>
    <t xml:space="preserve">Target CPU utilization (safe ceiling)</t>
  </si>
  <si>
    <t xml:space="preserve">Industry best practice: 65% for headroom</t>
  </si>
  <si>
    <t xml:space="preserve">Target Memory utilization (safe ceiling)</t>
  </si>
  <si>
    <t xml:space="preserve">Leave 30% buffer for spikes</t>
  </si>
  <si>
    <t xml:space="preserve">Expected span growth rate (next 6 months)</t>
  </si>
  <si>
    <t xml:space="preserve">e.g. 30% = 30% more spans in 6 months</t>
  </si>
  <si>
    <t xml:space="preserve">Max spans/s per collector node (observed peak)</t>
  </si>
  <si>
    <t xml:space="preserve">Benchmark from your env; adjust per HW spec</t>
  </si>
  <si>
    <t xml:space="preserve">Max CPU a single node can sustain (target)</t>
  </si>
  <si>
    <t xml:space="preserve">Matches target CPU above</t>
  </si>
  <si>
    <t xml:space="preserve">Safety buffer multiplier</t>
  </si>
  <si>
    <t xml:space="preserve">x</t>
  </si>
  <si>
    <t xml:space="preserve">1.2 = 20% additional headroom</t>
  </si>
  <si>
    <t xml:space="preserve">Avg vCPUs per new server</t>
  </si>
  <si>
    <t xml:space="preserve">Size of servers to be added</t>
  </si>
  <si>
    <t xml:space="preserve">Avg RAM per new server (GB)</t>
  </si>
  <si>
    <t xml:space="preserve">GB</t>
  </si>
  <si>
    <t xml:space="preserve">C. CAPACITY CALCULATIONS</t>
  </si>
  <si>
    <t xml:space="preserve">Projected spans/s after growth</t>
  </si>
  <si>
    <t xml:space="preserve">Current spans × (1 + growth rate)</t>
  </si>
  <si>
    <t xml:space="preserve">Required nodes based on span throughput</t>
  </si>
  <si>
    <t xml:space="preserve">Projected spans ÷ max spans/node, rounded up</t>
  </si>
  <si>
    <t xml:space="preserve">Required nodes based on CPU headroom</t>
  </si>
  <si>
    <t xml:space="preserve">Current nodes × (current CPU / target CPU)</t>
  </si>
  <si>
    <t xml:space="preserve">Required nodes based on Memory headroom</t>
  </si>
  <si>
    <t xml:space="preserve">Current nodes × (current Mem / target Mem)</t>
  </si>
  <si>
    <t xml:space="preserve">Required nodes (worst case / max)</t>
  </si>
  <si>
    <t xml:space="preserve">Take the highest requirement across all dimensions</t>
  </si>
  <si>
    <t xml:space="preserve">Apply safety buffer</t>
  </si>
  <si>
    <t xml:space="preserve">Worst-case × safety multiplier</t>
  </si>
  <si>
    <t xml:space="preserve">Additional servers NEEDED</t>
  </si>
  <si>
    <t xml:space="preserve">Required (with buffer) minus current nodes</t>
  </si>
  <si>
    <t xml:space="preserve">Total fleet size after scale-out</t>
  </si>
  <si>
    <t xml:space="preserve">Current + additional</t>
  </si>
  <si>
    <t xml:space="preserve">New vCPU total added</t>
  </si>
  <si>
    <t xml:space="preserve">New servers × vCPUs per server</t>
  </si>
  <si>
    <t xml:space="preserve">New RAM total added (GB)</t>
  </si>
  <si>
    <t xml:space="preserve">New servers × RAM per server</t>
  </si>
  <si>
    <t xml:space="preserve">D. RECOMMENDATION SUMMARY</t>
  </si>
  <si>
    <t xml:space="preserve">Scale-out decision</t>
  </si>
  <si>
    <t xml:space="preserve">Primary bottleneck</t>
  </si>
  <si>
    <t xml:space="preserve">Urgency</t>
  </si>
  <si>
    <t xml:space="preserve">Estimated timeline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</si>
</sst>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.00%"/>
    <numFmt numFmtId="168" formatCode="0"/>
    <numFmt numFmtId="169" formatCode="0%"/>
    <numFmt numFmtId="170" formatCode="#,##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FFFACD"/>
      </patternFill>
    </fill>
    <fill>
      <patternFill patternType="solid">
        <fgColor rgb="FFFFFACD"/>
        <bgColor rgb="FFF2F2F2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6" hidden="false" customHeight="true" outlineLevel="0" collapsed="false">
      <c r="B1" s="1" t="s">
        <v>0</v>
      </c>
      <c r="C1" s="1"/>
    </row>
    <row r="3" customFormat="false" ht="21.75" hidden="false" customHeight="true" outlineLevel="0" collapsed="false">
      <c r="B3" s="2" t="s">
        <v>1</v>
      </c>
      <c r="C3" s="2"/>
    </row>
    <row r="4" customFormat="false" ht="39.75" hidden="false" customHeight="true" outlineLevel="0" collapsed="false">
      <c r="B4" s="3" t="s">
        <v>2</v>
      </c>
      <c r="C4" s="3"/>
    </row>
    <row r="5" customFormat="false" ht="7.5" hidden="false" customHeight="true" outlineLevel="0" collapsed="false"/>
    <row r="6" customFormat="false" ht="21.75" hidden="false" customHeight="true" outlineLevel="0" collapsed="false">
      <c r="B6" s="2" t="s">
        <v>3</v>
      </c>
      <c r="C6" s="2"/>
    </row>
    <row r="7" customFormat="false" ht="39.75" hidden="false" customHeight="true" outlineLevel="0" collapsed="false">
      <c r="B7" s="3" t="s">
        <v>4</v>
      </c>
      <c r="C7" s="3"/>
    </row>
    <row r="8" customFormat="false" ht="7.5" hidden="false" customHeight="true" outlineLevel="0" collapsed="false"/>
    <row r="9" customFormat="false" ht="21.75" hidden="false" customHeight="true" outlineLevel="0" collapsed="false">
      <c r="B9" s="2" t="s">
        <v>5</v>
      </c>
      <c r="C9" s="2"/>
    </row>
    <row r="10" customFormat="false" ht="39.75" hidden="false" customHeight="true" outlineLevel="0" collapsed="false">
      <c r="B10" s="3" t="s">
        <v>6</v>
      </c>
      <c r="C10" s="3"/>
    </row>
    <row r="11" customFormat="false" ht="7.5" hidden="false" customHeight="true" outlineLevel="0" collapsed="false"/>
    <row r="12" customFormat="false" ht="21.75" hidden="false" customHeight="true" outlineLevel="0" collapsed="false">
      <c r="B12" s="2" t="s">
        <v>7</v>
      </c>
      <c r="C12" s="2"/>
    </row>
    <row r="13" customFormat="false" ht="39.75" hidden="false" customHeight="true" outlineLevel="0" collapsed="false">
      <c r="B13" s="3" t="s">
        <v>8</v>
      </c>
      <c r="C13" s="3"/>
    </row>
    <row r="14" customFormat="false" ht="7.5" hidden="false" customHeight="true" outlineLevel="0" collapsed="false"/>
    <row r="15" customFormat="false" ht="21.75" hidden="false" customHeight="true" outlineLevel="0" collapsed="false">
      <c r="B15" s="2" t="s">
        <v>9</v>
      </c>
      <c r="C15" s="2"/>
    </row>
    <row r="16" customFormat="false" ht="39.75" hidden="false" customHeight="true" outlineLevel="0" collapsed="false">
      <c r="B16" s="3" t="s">
        <v>10</v>
      </c>
      <c r="C16" s="3"/>
    </row>
    <row r="17" customFormat="false" ht="7.5" hidden="false" customHeight="true" outlineLevel="0" collapsed="false"/>
    <row r="18" customFormat="false" ht="21.75" hidden="false" customHeight="true" outlineLevel="0" collapsed="false">
      <c r="B18" s="2" t="s">
        <v>11</v>
      </c>
      <c r="C18" s="2"/>
    </row>
    <row r="19" customFormat="false" ht="39.75" hidden="false" customHeight="true" outlineLevel="0" collapsed="false">
      <c r="B19" s="3" t="s">
        <v>12</v>
      </c>
      <c r="C19" s="3"/>
    </row>
    <row r="20" customFormat="false" ht="7.5" hidden="false" customHeight="true" outlineLevel="0" collapsed="false"/>
    <row r="21" customFormat="false" ht="21.75" hidden="false" customHeight="true" outlineLevel="0" collapsed="false">
      <c r="B21" s="2" t="s">
        <v>13</v>
      </c>
      <c r="C21" s="2"/>
    </row>
    <row r="22" customFormat="false" ht="39.75" hidden="false" customHeight="true" outlineLevel="0" collapsed="false">
      <c r="B22" s="3" t="s">
        <v>14</v>
      </c>
      <c r="C22" s="3"/>
    </row>
    <row r="23" customFormat="false" ht="7.5" hidden="false" customHeight="true" outlineLevel="0" collapsed="false"/>
    <row r="24" customFormat="false" ht="21.75" hidden="false" customHeight="true" outlineLevel="0" collapsed="false">
      <c r="B24" s="2" t="s">
        <v>15</v>
      </c>
      <c r="C24" s="2"/>
    </row>
    <row r="25" customFormat="false" ht="39.75" hidden="false" customHeight="true" outlineLevel="0" collapsed="false">
      <c r="B25" s="3" t="s">
        <v>16</v>
      </c>
      <c r="C25" s="3"/>
    </row>
    <row r="26" customFormat="false" ht="7.5" hidden="false" customHeight="true" outlineLevel="0" collapsed="false"/>
  </sheetData>
  <mergeCells count="17">
    <mergeCell ref="B1:C1"/>
    <mergeCell ref="B3:C3"/>
    <mergeCell ref="B4:C4"/>
    <mergeCell ref="B6:C6"/>
    <mergeCell ref="B7:C7"/>
    <mergeCell ref="B9:C9"/>
    <mergeCell ref="B10:C10"/>
    <mergeCell ref="B12:C12"/>
    <mergeCell ref="B13:C13"/>
    <mergeCell ref="B15:C15"/>
    <mergeCell ref="B16:C16"/>
    <mergeCell ref="B18:C18"/>
    <mergeCell ref="B19:C19"/>
    <mergeCell ref="B21:C21"/>
    <mergeCell ref="B22:C22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8"/>
  </cols>
  <sheetData>
    <row r="1" customFormat="false" ht="36" hidden="false" customHeight="true" outlineLevel="0" collapsed="false">
      <c r="B1" s="1" t="s">
        <v>17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4" t="s">
        <v>18</v>
      </c>
      <c r="C2" s="4"/>
      <c r="D2" s="4"/>
      <c r="E2" s="4"/>
      <c r="F2" s="4"/>
      <c r="G2" s="4"/>
      <c r="H2" s="4"/>
    </row>
    <row r="4" customFormat="false" ht="24" hidden="false" customHeight="true" outlineLevel="0" collapsed="false">
      <c r="B4" s="5" t="s">
        <v>19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</row>
    <row r="6" customFormat="false" ht="19.5" hidden="false" customHeight="true" outlineLevel="0" collapsed="false">
      <c r="B6" s="7" t="s">
        <v>25</v>
      </c>
      <c r="C6" s="8" t="n">
        <f aca="false">'Server Inventory'!C4</f>
        <v>5</v>
      </c>
      <c r="D6" s="9" t="s">
        <v>26</v>
      </c>
      <c r="E6" s="9" t="str">
        <f aca="false">IF(C6&gt;0,"✅ OK","⚠️ No Data")</f>
        <v>✅ OK</v>
      </c>
      <c r="F6" s="10" t="str">
        <f aca="false">"Fleet has "&amp; C6 &amp;" collector nodes"</f>
        <v>Fleet has 5 collector nodes</v>
      </c>
      <c r="G6" s="10"/>
      <c r="H6" s="10"/>
    </row>
    <row r="7" customFormat="false" ht="19.5" hidden="false" customHeight="true" outlineLevel="0" collapsed="false">
      <c r="B7" s="7" t="s">
        <v>27</v>
      </c>
      <c r="C7" s="11" t="n">
        <f aca="false">'Server Inventory'!H4</f>
        <v>0.642</v>
      </c>
      <c r="D7" s="9" t="s">
        <v>28</v>
      </c>
      <c r="E7" s="9" t="str">
        <f aca="false">IF(C7&gt;0.7,"🔴 Critical",IF(C7&gt;0.6,"🟡 Warning","✅ OK"))</f>
        <v>🟡 Warning</v>
      </c>
      <c r="F7" s="10" t="str">
        <f aca="false">IF(C7&gt;0.7,"Immediate scale-out required",IF(C7&gt;0.6,"Monitor closely – approaching limit","Healthy"))</f>
        <v>Monitor closely – approaching limit</v>
      </c>
      <c r="G7" s="10"/>
      <c r="H7" s="10"/>
    </row>
    <row r="8" customFormat="false" ht="19.5" hidden="false" customHeight="true" outlineLevel="0" collapsed="false">
      <c r="B8" s="7" t="s">
        <v>29</v>
      </c>
      <c r="C8" s="11" t="n">
        <f aca="false">'Server Inventory'!I4</f>
        <v>0.7</v>
      </c>
      <c r="D8" s="9" t="s">
        <v>30</v>
      </c>
      <c r="E8" s="9" t="str">
        <f aca="false">IF(C8&gt;0.75,"🔴 Critical",IF(C8&gt;0.65,"🟡 Warning","✅ OK"))</f>
        <v>🟡 Warning</v>
      </c>
      <c r="F8" s="10" t="str">
        <f aca="false">IF(C8&gt;0.75,"Increase memory or add nodes",IF(C8&gt;0.65,"Monitor – approaching limit","Healthy"))</f>
        <v>Monitor – approaching limit</v>
      </c>
      <c r="G8" s="10"/>
      <c r="H8" s="10"/>
    </row>
    <row r="9" customFormat="false" ht="19.5" hidden="false" customHeight="true" outlineLevel="0" collapsed="false">
      <c r="B9" s="7" t="s">
        <v>31</v>
      </c>
      <c r="C9" s="8" t="n">
        <f aca="false">'Collector Metrics'!G4</f>
        <v>213150</v>
      </c>
      <c r="D9" s="9" t="s">
        <v>26</v>
      </c>
      <c r="E9" s="9" t="str">
        <f aca="false">IF(C9&gt;0,"✅ Sending","⚠️ No Data")</f>
        <v>✅ Sending</v>
      </c>
      <c r="F9" s="10" t="str">
        <f aca="false">"Sending "&amp; TEXT(C9,"#,##0") &amp;" spans/sec"</f>
        <v>Sending 213,150 spans/sec</v>
      </c>
      <c r="G9" s="10"/>
      <c r="H9" s="10"/>
    </row>
    <row r="10" customFormat="false" ht="19.5" hidden="false" customHeight="true" outlineLevel="0" collapsed="false">
      <c r="B10" s="7" t="s">
        <v>32</v>
      </c>
      <c r="C10" s="12" t="n">
        <f aca="false">'Collector Metrics'!H4</f>
        <v>0.0395620240616411</v>
      </c>
      <c r="D10" s="9" t="s">
        <v>33</v>
      </c>
      <c r="E10" s="9" t="str">
        <f aca="false">IF(C10&gt;0.01,"🔴 Drops Detected",IF(C10&gt;0,"🟡 Low Drops","✅ No Drops"))</f>
        <v>🔴 Drops Detected</v>
      </c>
      <c r="F10" s="10" t="str">
        <f aca="false">IF(C10&gt;0.01,"Investigate exporter queue limits &amp; add nodes","No action needed")</f>
        <v>Investigate exporter queue limits &amp; add nodes</v>
      </c>
      <c r="G10" s="10"/>
      <c r="H10" s="10"/>
    </row>
    <row r="11" customFormat="false" ht="19.5" hidden="false" customHeight="true" outlineLevel="0" collapsed="false">
      <c r="B11" s="7" t="s">
        <v>34</v>
      </c>
      <c r="C11" s="8" t="n">
        <f aca="false">'Server Inventory'!J4</f>
        <v>2</v>
      </c>
      <c r="D11" s="9" t="s">
        <v>35</v>
      </c>
      <c r="E11" s="9" t="str">
        <f aca="false">IF(C11&gt;0,"🔴 "&amp; C11 &amp;" nodes at risk","✅ All OK")</f>
        <v>🔴 2 nodes at risk</v>
      </c>
      <c r="F11" s="10" t="str">
        <f aca="false">IF(C11&gt;0,"Add nodes or reduce per-node span load","No action needed")</f>
        <v>Add nodes or reduce per-node span load</v>
      </c>
      <c r="G11" s="10"/>
      <c r="H11" s="10"/>
    </row>
    <row r="12" customFormat="false" ht="19.5" hidden="false" customHeight="true" outlineLevel="0" collapsed="false">
      <c r="B12" s="7" t="s">
        <v>36</v>
      </c>
      <c r="C12" s="8" t="n">
        <f aca="false">'Server Inventory'!K4</f>
        <v>2</v>
      </c>
      <c r="D12" s="9" t="s">
        <v>35</v>
      </c>
      <c r="E12" s="9" t="str">
        <f aca="false">IF(C12&gt;0,"🔴 "&amp; C12 &amp;" nodes at risk","✅ All OK")</f>
        <v>🔴 2 nodes at risk</v>
      </c>
      <c r="F12" s="10" t="str">
        <f aca="false">IF(C12&gt;0,"Increase memory or add nodes","No action needed")</f>
        <v>Increase memory or add nodes</v>
      </c>
      <c r="G12" s="10"/>
      <c r="H12" s="10"/>
    </row>
    <row r="13" customFormat="false" ht="19.5" hidden="false" customHeight="true" outlineLevel="0" collapsed="false">
      <c r="B13" s="7" t="s">
        <v>37</v>
      </c>
      <c r="C13" s="13" t="n">
        <f aca="false">'Capacity Model'!E4</f>
        <v>1</v>
      </c>
      <c r="D13" s="9" t="s">
        <v>26</v>
      </c>
      <c r="E13" s="9" t="str">
        <f aca="false">IF(C13&gt;0,"⚠️ Scale Up: "&amp; C13 &amp;" servers needed","✅ Sufficient")</f>
        <v>⚠️ Scale Up: 1 servers needed</v>
      </c>
      <c r="F13" s="10" t="str">
        <f aca="false">IF(C13&gt;0,"See Capacity Model sheet for details","Current capacity sufficient")</f>
        <v>See Capacity Model sheet for details</v>
      </c>
      <c r="G13" s="10"/>
      <c r="H13" s="10"/>
    </row>
    <row r="15" customFormat="false" ht="24" hidden="false" customHeight="true" outlineLevel="0" collapsed="false">
      <c r="B15" s="5" t="s">
        <v>38</v>
      </c>
      <c r="C15" s="5"/>
      <c r="D15" s="5"/>
      <c r="E15" s="5"/>
      <c r="F15" s="5"/>
      <c r="G15" s="5"/>
      <c r="H15" s="5"/>
    </row>
    <row r="16" customFormat="false" ht="26.85" hidden="false" customHeight="false" outlineLevel="0" collapsed="false">
      <c r="B16" s="6" t="s">
        <v>39</v>
      </c>
      <c r="C16" s="6" t="s">
        <v>40</v>
      </c>
      <c r="D16" s="6" t="s">
        <v>41</v>
      </c>
      <c r="F16" s="6" t="s">
        <v>42</v>
      </c>
    </row>
    <row r="17" customFormat="false" ht="18" hidden="false" customHeight="true" outlineLevel="0" collapsed="false">
      <c r="B17" s="14" t="s">
        <v>43</v>
      </c>
      <c r="C17" s="15" t="s">
        <v>44</v>
      </c>
      <c r="D17" s="14" t="s">
        <v>45</v>
      </c>
      <c r="F17" s="10" t="s">
        <v>46</v>
      </c>
      <c r="G17" s="10"/>
      <c r="H17" s="10"/>
    </row>
    <row r="18" customFormat="false" ht="18" hidden="false" customHeight="true" outlineLevel="0" collapsed="false">
      <c r="B18" s="14" t="s">
        <v>47</v>
      </c>
      <c r="C18" s="15" t="s">
        <v>48</v>
      </c>
      <c r="D18" s="14" t="s">
        <v>49</v>
      </c>
      <c r="F18" s="10" t="s">
        <v>50</v>
      </c>
      <c r="G18" s="10"/>
      <c r="H18" s="10"/>
    </row>
    <row r="19" customFormat="false" ht="18" hidden="false" customHeight="true" outlineLevel="0" collapsed="false">
      <c r="B19" s="14" t="s">
        <v>51</v>
      </c>
      <c r="C19" s="15" t="s">
        <v>52</v>
      </c>
      <c r="D19" s="14" t="s">
        <v>53</v>
      </c>
      <c r="F19" s="10" t="s">
        <v>54</v>
      </c>
      <c r="G19" s="10"/>
      <c r="H19" s="10"/>
    </row>
    <row r="20" customFormat="false" ht="18" hidden="false" customHeight="true" outlineLevel="0" collapsed="false">
      <c r="B20" s="14" t="s">
        <v>55</v>
      </c>
      <c r="C20" s="15" t="s">
        <v>56</v>
      </c>
      <c r="D20" s="14" t="s">
        <v>57</v>
      </c>
      <c r="F20" s="10" t="s">
        <v>50</v>
      </c>
      <c r="G20" s="10"/>
      <c r="H20" s="10"/>
    </row>
    <row r="21" customFormat="false" ht="18" hidden="false" customHeight="true" outlineLevel="0" collapsed="false">
      <c r="B21" s="14" t="s">
        <v>58</v>
      </c>
      <c r="C21" s="15" t="s">
        <v>59</v>
      </c>
      <c r="D21" s="14" t="s">
        <v>60</v>
      </c>
      <c r="F21" s="10" t="s">
        <v>50</v>
      </c>
      <c r="G21" s="10"/>
      <c r="H21" s="10"/>
    </row>
    <row r="22" customFormat="false" ht="18" hidden="false" customHeight="true" outlineLevel="0" collapsed="false">
      <c r="B22" s="14" t="s">
        <v>61</v>
      </c>
      <c r="C22" s="15" t="s">
        <v>62</v>
      </c>
      <c r="D22" s="14" t="s">
        <v>60</v>
      </c>
      <c r="F22" s="10" t="s">
        <v>50</v>
      </c>
      <c r="G22" s="10"/>
      <c r="H22" s="10"/>
    </row>
    <row r="23" customFormat="false" ht="18" hidden="false" customHeight="true" outlineLevel="0" collapsed="false">
      <c r="B23" s="14" t="s">
        <v>63</v>
      </c>
      <c r="C23" s="15" t="s">
        <v>64</v>
      </c>
      <c r="D23" s="14" t="s">
        <v>53</v>
      </c>
      <c r="F23" s="10" t="s">
        <v>50</v>
      </c>
      <c r="G23" s="10"/>
      <c r="H23" s="10"/>
    </row>
    <row r="24" customFormat="false" ht="18" hidden="false" customHeight="true" outlineLevel="0" collapsed="false">
      <c r="B24" s="14" t="s">
        <v>65</v>
      </c>
      <c r="C24" s="15" t="s">
        <v>66</v>
      </c>
      <c r="D24" s="14" t="s">
        <v>53</v>
      </c>
      <c r="F24" s="10" t="s">
        <v>50</v>
      </c>
      <c r="G24" s="10"/>
      <c r="H24" s="10"/>
    </row>
  </sheetData>
  <mergeCells count="20">
    <mergeCell ref="B1:H1"/>
    <mergeCell ref="B2:H2"/>
    <mergeCell ref="B4:H4"/>
    <mergeCell ref="F6:H6"/>
    <mergeCell ref="F7:H7"/>
    <mergeCell ref="F8:H8"/>
    <mergeCell ref="F9:H9"/>
    <mergeCell ref="F10:H10"/>
    <mergeCell ref="F11:H11"/>
    <mergeCell ref="F12:H12"/>
    <mergeCell ref="F13:H13"/>
    <mergeCell ref="B15:H15"/>
    <mergeCell ref="F17:H17"/>
    <mergeCell ref="F18:H18"/>
    <mergeCell ref="F19:H19"/>
    <mergeCell ref="F20:H20"/>
    <mergeCell ref="F21:H21"/>
    <mergeCell ref="F22:H22"/>
    <mergeCell ref="F23:H23"/>
    <mergeCell ref="F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11" min="3" style="0" width="14"/>
    <col collapsed="false" customWidth="true" hidden="false" outlineLevel="0" max="12" min="12" style="0" width="20"/>
  </cols>
  <sheetData>
    <row r="1" customFormat="false" ht="30" hidden="false" customHeight="true" outlineLevel="0" collapsed="false">
      <c r="B1" s="16" t="s">
        <v>67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5" hidden="false" customHeight="true" outlineLevel="0" collapsed="false">
      <c r="B2" s="17" t="s">
        <v>68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21.75" hidden="false" customHeight="true" outlineLevel="0" collapsed="false">
      <c r="B3" s="5" t="s">
        <v>69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9.5" hidden="false" customHeight="true" outlineLevel="0" collapsed="false">
      <c r="B4" s="18" t="s">
        <v>70</v>
      </c>
      <c r="C4" s="19" t="n">
        <f aca="false">COUNTA(B7:B36)</f>
        <v>5</v>
      </c>
      <c r="D4" s="19" t="n">
        <f aca="false">SUM(D7:D36)</f>
        <v>44</v>
      </c>
      <c r="E4" s="19" t="n">
        <f aca="false">SUM(E7:E36)</f>
        <v>176</v>
      </c>
      <c r="H4" s="20" t="n">
        <f aca="false">IFERROR(AVERAGE(H7:H36),0)</f>
        <v>0.642</v>
      </c>
      <c r="I4" s="20" t="n">
        <f aca="false">IFERROR(AVERAGE(I7:I36),0)</f>
        <v>0.7</v>
      </c>
      <c r="J4" s="19" t="n">
        <f aca="false">COUNTIF(H7:H36,"&gt;"&amp;0.7)</f>
        <v>2</v>
      </c>
      <c r="K4" s="19" t="n">
        <f aca="false">COUNTIF(I7:I36,"&gt;"&amp;0.75)</f>
        <v>2</v>
      </c>
    </row>
    <row r="5" customFormat="false" ht="18" hidden="false" customHeight="true" outlineLevel="0" collapsed="false">
      <c r="B5" s="21" t="s">
        <v>71</v>
      </c>
      <c r="C5" s="21"/>
      <c r="D5" s="21"/>
      <c r="E5" s="21"/>
      <c r="F5" s="21"/>
      <c r="G5" s="21"/>
      <c r="H5" s="22" t="n">
        <v>0.7</v>
      </c>
      <c r="I5" s="22" t="n">
        <v>0.75</v>
      </c>
      <c r="K5" s="23" t="s">
        <v>72</v>
      </c>
    </row>
    <row r="6" customFormat="false" ht="30" hidden="false" customHeight="true" outlineLevel="0" collapsed="false">
      <c r="B6" s="6" t="s">
        <v>73</v>
      </c>
      <c r="C6" s="6" t="s">
        <v>74</v>
      </c>
      <c r="D6" s="6" t="s">
        <v>75</v>
      </c>
      <c r="E6" s="6" t="s">
        <v>76</v>
      </c>
      <c r="F6" s="6" t="s">
        <v>77</v>
      </c>
      <c r="G6" s="6" t="s">
        <v>78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83</v>
      </c>
    </row>
    <row r="7" customFormat="false" ht="18" hidden="false" customHeight="true" outlineLevel="0" collapsed="false">
      <c r="B7" s="24" t="s">
        <v>84</v>
      </c>
      <c r="C7" s="24" t="s">
        <v>85</v>
      </c>
      <c r="D7" s="25" t="n">
        <v>8</v>
      </c>
      <c r="E7" s="25" t="n">
        <v>32</v>
      </c>
      <c r="F7" s="24" t="s">
        <v>86</v>
      </c>
      <c r="G7" s="24" t="s">
        <v>87</v>
      </c>
      <c r="H7" s="26" t="n">
        <v>0.68</v>
      </c>
      <c r="I7" s="26" t="n">
        <v>0.72</v>
      </c>
      <c r="J7" s="27" t="str">
        <f aca="false">IF(H7&gt;$H$5,"🔴 Over Limit",IF(H7&gt;$H$5*0.9,"🟡 Warning","✅ OK"))</f>
        <v>🟡 Warning</v>
      </c>
      <c r="K7" s="27" t="str">
        <f aca="false">IF(I7&gt;$I$5,"🔴 Over Limit",IF(I7&gt;$I$5*0.9,"🟡 Warning","✅ OK"))</f>
        <v>🟡 Warning</v>
      </c>
      <c r="L7" s="28"/>
    </row>
    <row r="8" customFormat="false" ht="18" hidden="false" customHeight="true" outlineLevel="0" collapsed="false">
      <c r="B8" s="29" t="s">
        <v>88</v>
      </c>
      <c r="C8" s="29" t="s">
        <v>85</v>
      </c>
      <c r="D8" s="25" t="n">
        <v>8</v>
      </c>
      <c r="E8" s="25" t="n">
        <v>32</v>
      </c>
      <c r="F8" s="29" t="s">
        <v>86</v>
      </c>
      <c r="G8" s="29" t="s">
        <v>87</v>
      </c>
      <c r="H8" s="26" t="n">
        <v>0.74</v>
      </c>
      <c r="I8" s="26" t="n">
        <v>0.81</v>
      </c>
      <c r="J8" s="30" t="str">
        <f aca="false">IF(H8&gt;$H$5,"🔴 Over Limit",IF(H8&gt;$H$5*0.9,"🟡 Warning","✅ OK"))</f>
        <v>🔴 Over Limit</v>
      </c>
      <c r="K8" s="30" t="str">
        <f aca="false">IF(I8&gt;$I$5,"🔴 Over Limit",IF(I8&gt;$I$5*0.9,"🟡 Warning","✅ OK"))</f>
        <v>🔴 Over Limit</v>
      </c>
      <c r="L8" s="31"/>
    </row>
    <row r="9" customFormat="false" ht="18" hidden="false" customHeight="true" outlineLevel="0" collapsed="false">
      <c r="B9" s="24" t="s">
        <v>89</v>
      </c>
      <c r="C9" s="24" t="s">
        <v>85</v>
      </c>
      <c r="D9" s="25" t="n">
        <v>8</v>
      </c>
      <c r="E9" s="25" t="n">
        <v>32</v>
      </c>
      <c r="F9" s="24" t="s">
        <v>86</v>
      </c>
      <c r="G9" s="24" t="s">
        <v>90</v>
      </c>
      <c r="H9" s="26" t="n">
        <v>0.55</v>
      </c>
      <c r="I9" s="26" t="n">
        <v>0.61</v>
      </c>
      <c r="J9" s="27" t="str">
        <f aca="false">IF(H9&gt;$H$5,"🔴 Over Limit",IF(H9&gt;$H$5*0.9,"🟡 Warning","✅ OK"))</f>
        <v>✅ OK</v>
      </c>
      <c r="K9" s="27" t="str">
        <f aca="false">IF(I9&gt;$I$5,"🔴 Over Limit",IF(I9&gt;$I$5*0.9,"🟡 Warning","✅ OK"))</f>
        <v>✅ OK</v>
      </c>
      <c r="L9" s="28"/>
    </row>
    <row r="10" customFormat="false" ht="18" hidden="false" customHeight="true" outlineLevel="0" collapsed="false">
      <c r="B10" s="29" t="s">
        <v>91</v>
      </c>
      <c r="C10" s="29" t="s">
        <v>92</v>
      </c>
      <c r="D10" s="25" t="n">
        <v>4</v>
      </c>
      <c r="E10" s="25" t="n">
        <v>16</v>
      </c>
      <c r="F10" s="29" t="s">
        <v>93</v>
      </c>
      <c r="G10" s="29" t="s">
        <v>94</v>
      </c>
      <c r="H10" s="26" t="n">
        <v>0.42</v>
      </c>
      <c r="I10" s="26" t="n">
        <v>0.48</v>
      </c>
      <c r="J10" s="30" t="str">
        <f aca="false">IF(H10&gt;$H$5,"🔴 Over Limit",IF(H10&gt;$H$5*0.9,"🟡 Warning","✅ OK"))</f>
        <v>✅ OK</v>
      </c>
      <c r="K10" s="30" t="str">
        <f aca="false">IF(I10&gt;$I$5,"🔴 Over Limit",IF(I10&gt;$I$5*0.9,"🟡 Warning","✅ OK"))</f>
        <v>✅ OK</v>
      </c>
      <c r="L10" s="31"/>
    </row>
    <row r="11" customFormat="false" ht="18" hidden="false" customHeight="true" outlineLevel="0" collapsed="false">
      <c r="B11" s="24" t="s">
        <v>95</v>
      </c>
      <c r="C11" s="24" t="s">
        <v>85</v>
      </c>
      <c r="D11" s="25" t="n">
        <v>16</v>
      </c>
      <c r="E11" s="25" t="n">
        <v>64</v>
      </c>
      <c r="F11" s="24" t="s">
        <v>86</v>
      </c>
      <c r="G11" s="24" t="s">
        <v>87</v>
      </c>
      <c r="H11" s="26" t="n">
        <v>0.82</v>
      </c>
      <c r="I11" s="26" t="n">
        <v>0.88</v>
      </c>
      <c r="J11" s="27" t="str">
        <f aca="false">IF(H11&gt;$H$5,"🔴 Over Limit",IF(H11&gt;$H$5*0.9,"🟡 Warning","✅ OK"))</f>
        <v>🔴 Over Limit</v>
      </c>
      <c r="K11" s="27" t="str">
        <f aca="false">IF(I11&gt;$I$5,"🔴 Over Limit",IF(I11&gt;$I$5*0.9,"🟡 Warning","✅ OK"))</f>
        <v>🔴 Over Limit</v>
      </c>
      <c r="L11" s="28"/>
    </row>
    <row r="12" customFormat="false" ht="18" hidden="false" customHeight="true" outlineLevel="0" collapsed="false">
      <c r="B12" s="32"/>
      <c r="C12" s="32"/>
      <c r="D12" s="25"/>
      <c r="E12" s="25"/>
      <c r="F12" s="32"/>
      <c r="G12" s="32"/>
      <c r="H12" s="26"/>
      <c r="I12" s="26"/>
      <c r="J12" s="30" t="str">
        <f aca="false">IF(H12="","",IF(H12&gt;$H$5,"🔴 Over Limit",IF(H12&gt;$H$5*0.9,"🟡 Warning","✅ OK")))</f>
        <v/>
      </c>
      <c r="K12" s="30" t="str">
        <f aca="false">IF(I12="","",IF(I12&gt;$I$5,"🔴 Over Limit",IF(I12&gt;$I$5*0.9,"🟡 Warning","✅ OK")))</f>
        <v/>
      </c>
      <c r="L12" s="32"/>
    </row>
    <row r="13" customFormat="false" ht="18" hidden="false" customHeight="true" outlineLevel="0" collapsed="false">
      <c r="B13" s="33"/>
      <c r="C13" s="33"/>
      <c r="D13" s="25"/>
      <c r="E13" s="25"/>
      <c r="F13" s="33"/>
      <c r="G13" s="33"/>
      <c r="H13" s="26"/>
      <c r="I13" s="26"/>
      <c r="J13" s="27" t="str">
        <f aca="false">IF(H13="","",IF(H13&gt;$H$5,"🔴 Over Limit",IF(H13&gt;$H$5*0.9,"🟡 Warning","✅ OK")))</f>
        <v/>
      </c>
      <c r="K13" s="27" t="str">
        <f aca="false">IF(I13="","",IF(I13&gt;$I$5,"🔴 Over Limit",IF(I13&gt;$I$5*0.9,"🟡 Warning","✅ OK")))</f>
        <v/>
      </c>
      <c r="L13" s="33"/>
    </row>
    <row r="14" customFormat="false" ht="18" hidden="false" customHeight="true" outlineLevel="0" collapsed="false">
      <c r="B14" s="32"/>
      <c r="C14" s="32"/>
      <c r="D14" s="25"/>
      <c r="E14" s="25"/>
      <c r="F14" s="32"/>
      <c r="G14" s="32"/>
      <c r="H14" s="26"/>
      <c r="I14" s="26"/>
      <c r="J14" s="30" t="str">
        <f aca="false">IF(H14="","",IF(H14&gt;$H$5,"🔴 Over Limit",IF(H14&gt;$H$5*0.9,"🟡 Warning","✅ OK")))</f>
        <v/>
      </c>
      <c r="K14" s="30" t="str">
        <f aca="false">IF(I14="","",IF(I14&gt;$I$5,"🔴 Over Limit",IF(I14&gt;$I$5*0.9,"🟡 Warning","✅ OK")))</f>
        <v/>
      </c>
      <c r="L14" s="32"/>
    </row>
    <row r="15" customFormat="false" ht="18" hidden="false" customHeight="true" outlineLevel="0" collapsed="false">
      <c r="B15" s="33"/>
      <c r="C15" s="33"/>
      <c r="D15" s="25"/>
      <c r="E15" s="25"/>
      <c r="F15" s="33"/>
      <c r="G15" s="33"/>
      <c r="H15" s="26"/>
      <c r="I15" s="26"/>
      <c r="J15" s="27" t="str">
        <f aca="false">IF(H15="","",IF(H15&gt;$H$5,"🔴 Over Limit",IF(H15&gt;$H$5*0.9,"🟡 Warning","✅ OK")))</f>
        <v/>
      </c>
      <c r="K15" s="27" t="str">
        <f aca="false">IF(I15="","",IF(I15&gt;$I$5,"🔴 Over Limit",IF(I15&gt;$I$5*0.9,"🟡 Warning","✅ OK")))</f>
        <v/>
      </c>
      <c r="L15" s="33"/>
    </row>
    <row r="16" customFormat="false" ht="18" hidden="false" customHeight="true" outlineLevel="0" collapsed="false">
      <c r="B16" s="32"/>
      <c r="C16" s="32"/>
      <c r="D16" s="25"/>
      <c r="E16" s="25"/>
      <c r="F16" s="32"/>
      <c r="G16" s="32"/>
      <c r="H16" s="26"/>
      <c r="I16" s="26"/>
      <c r="J16" s="30" t="str">
        <f aca="false">IF(H16="","",IF(H16&gt;$H$5,"🔴 Over Limit",IF(H16&gt;$H$5*0.9,"🟡 Warning","✅ OK")))</f>
        <v/>
      </c>
      <c r="K16" s="30" t="str">
        <f aca="false">IF(I16="","",IF(I16&gt;$I$5,"🔴 Over Limit",IF(I16&gt;$I$5*0.9,"🟡 Warning","✅ OK")))</f>
        <v/>
      </c>
      <c r="L16" s="32"/>
    </row>
    <row r="17" customFormat="false" ht="18" hidden="false" customHeight="true" outlineLevel="0" collapsed="false">
      <c r="B17" s="33"/>
      <c r="C17" s="33"/>
      <c r="D17" s="25"/>
      <c r="E17" s="25"/>
      <c r="F17" s="33"/>
      <c r="G17" s="33"/>
      <c r="H17" s="26"/>
      <c r="I17" s="26"/>
      <c r="J17" s="27" t="str">
        <f aca="false">IF(H17="","",IF(H17&gt;$H$5,"🔴 Over Limit",IF(H17&gt;$H$5*0.9,"🟡 Warning","✅ OK")))</f>
        <v/>
      </c>
      <c r="K17" s="27" t="str">
        <f aca="false">IF(I17="","",IF(I17&gt;$I$5,"🔴 Over Limit",IF(I17&gt;$I$5*0.9,"🟡 Warning","✅ OK")))</f>
        <v/>
      </c>
      <c r="L17" s="33"/>
    </row>
    <row r="18" customFormat="false" ht="18" hidden="false" customHeight="true" outlineLevel="0" collapsed="false">
      <c r="B18" s="32"/>
      <c r="C18" s="32"/>
      <c r="D18" s="25"/>
      <c r="E18" s="25"/>
      <c r="F18" s="32"/>
      <c r="G18" s="32"/>
      <c r="H18" s="26"/>
      <c r="I18" s="26"/>
      <c r="J18" s="30" t="str">
        <f aca="false">IF(H18="","",IF(H18&gt;$H$5,"🔴 Over Limit",IF(H18&gt;$H$5*0.9,"🟡 Warning","✅ OK")))</f>
        <v/>
      </c>
      <c r="K18" s="30" t="str">
        <f aca="false">IF(I18="","",IF(I18&gt;$I$5,"🔴 Over Limit",IF(I18&gt;$I$5*0.9,"🟡 Warning","✅ OK")))</f>
        <v/>
      </c>
      <c r="L18" s="32"/>
    </row>
    <row r="19" customFormat="false" ht="18" hidden="false" customHeight="true" outlineLevel="0" collapsed="false">
      <c r="B19" s="33"/>
      <c r="C19" s="33"/>
      <c r="D19" s="25"/>
      <c r="E19" s="25"/>
      <c r="F19" s="33"/>
      <c r="G19" s="33"/>
      <c r="H19" s="26"/>
      <c r="I19" s="26"/>
      <c r="J19" s="27" t="str">
        <f aca="false">IF(H19="","",IF(H19&gt;$H$5,"🔴 Over Limit",IF(H19&gt;$H$5*0.9,"🟡 Warning","✅ OK")))</f>
        <v/>
      </c>
      <c r="K19" s="27" t="str">
        <f aca="false">IF(I19="","",IF(I19&gt;$I$5,"🔴 Over Limit",IF(I19&gt;$I$5*0.9,"🟡 Warning","✅ OK")))</f>
        <v/>
      </c>
      <c r="L19" s="33"/>
    </row>
    <row r="20" customFormat="false" ht="18" hidden="false" customHeight="true" outlineLevel="0" collapsed="false">
      <c r="B20" s="32"/>
      <c r="C20" s="32"/>
      <c r="D20" s="25"/>
      <c r="E20" s="25"/>
      <c r="F20" s="32"/>
      <c r="G20" s="32"/>
      <c r="H20" s="26"/>
      <c r="I20" s="26"/>
      <c r="J20" s="30" t="str">
        <f aca="false">IF(H20="","",IF(H20&gt;$H$5,"🔴 Over Limit",IF(H20&gt;$H$5*0.9,"🟡 Warning","✅ OK")))</f>
        <v/>
      </c>
      <c r="K20" s="30" t="str">
        <f aca="false">IF(I20="","",IF(I20&gt;$I$5,"🔴 Over Limit",IF(I20&gt;$I$5*0.9,"🟡 Warning","✅ OK")))</f>
        <v/>
      </c>
      <c r="L20" s="32"/>
    </row>
    <row r="21" customFormat="false" ht="18" hidden="false" customHeight="true" outlineLevel="0" collapsed="false">
      <c r="B21" s="33"/>
      <c r="C21" s="33"/>
      <c r="D21" s="25"/>
      <c r="E21" s="25"/>
      <c r="F21" s="33"/>
      <c r="G21" s="33"/>
      <c r="H21" s="26"/>
      <c r="I21" s="26"/>
      <c r="J21" s="27" t="str">
        <f aca="false">IF(H21="","",IF(H21&gt;$H$5,"🔴 Over Limit",IF(H21&gt;$H$5*0.9,"🟡 Warning","✅ OK")))</f>
        <v/>
      </c>
      <c r="K21" s="27" t="str">
        <f aca="false">IF(I21="","",IF(I21&gt;$I$5,"🔴 Over Limit",IF(I21&gt;$I$5*0.9,"🟡 Warning","✅ OK")))</f>
        <v/>
      </c>
      <c r="L21" s="33"/>
    </row>
    <row r="22" customFormat="false" ht="18" hidden="false" customHeight="true" outlineLevel="0" collapsed="false">
      <c r="B22" s="32"/>
      <c r="C22" s="32"/>
      <c r="D22" s="25"/>
      <c r="E22" s="25"/>
      <c r="F22" s="32"/>
      <c r="G22" s="32"/>
      <c r="H22" s="26"/>
      <c r="I22" s="26"/>
      <c r="J22" s="30" t="str">
        <f aca="false">IF(H22="","",IF(H22&gt;$H$5,"🔴 Over Limit",IF(H22&gt;$H$5*0.9,"🟡 Warning","✅ OK")))</f>
        <v/>
      </c>
      <c r="K22" s="30" t="str">
        <f aca="false">IF(I22="","",IF(I22&gt;$I$5,"🔴 Over Limit",IF(I22&gt;$I$5*0.9,"🟡 Warning","✅ OK")))</f>
        <v/>
      </c>
      <c r="L22" s="32"/>
    </row>
    <row r="23" customFormat="false" ht="18" hidden="false" customHeight="true" outlineLevel="0" collapsed="false">
      <c r="B23" s="33"/>
      <c r="C23" s="33"/>
      <c r="D23" s="25"/>
      <c r="E23" s="25"/>
      <c r="F23" s="33"/>
      <c r="G23" s="33"/>
      <c r="H23" s="26"/>
      <c r="I23" s="26"/>
      <c r="J23" s="27" t="str">
        <f aca="false">IF(H23="","",IF(H23&gt;$H$5,"🔴 Over Limit",IF(H23&gt;$H$5*0.9,"🟡 Warning","✅ OK")))</f>
        <v/>
      </c>
      <c r="K23" s="27" t="str">
        <f aca="false">IF(I23="","",IF(I23&gt;$I$5,"🔴 Over Limit",IF(I23&gt;$I$5*0.9,"🟡 Warning","✅ OK")))</f>
        <v/>
      </c>
      <c r="L23" s="33"/>
    </row>
    <row r="24" customFormat="false" ht="18" hidden="false" customHeight="true" outlineLevel="0" collapsed="false">
      <c r="B24" s="32"/>
      <c r="C24" s="32"/>
      <c r="D24" s="25"/>
      <c r="E24" s="25"/>
      <c r="F24" s="32"/>
      <c r="G24" s="32"/>
      <c r="H24" s="26"/>
      <c r="I24" s="26"/>
      <c r="J24" s="30" t="str">
        <f aca="false">IF(H24="","",IF(H24&gt;$H$5,"🔴 Over Limit",IF(H24&gt;$H$5*0.9,"🟡 Warning","✅ OK")))</f>
        <v/>
      </c>
      <c r="K24" s="30" t="str">
        <f aca="false">IF(I24="","",IF(I24&gt;$I$5,"🔴 Over Limit",IF(I24&gt;$I$5*0.9,"🟡 Warning","✅ OK")))</f>
        <v/>
      </c>
      <c r="L24" s="32"/>
    </row>
    <row r="25" customFormat="false" ht="18" hidden="false" customHeight="true" outlineLevel="0" collapsed="false">
      <c r="B25" s="33"/>
      <c r="C25" s="33"/>
      <c r="D25" s="25"/>
      <c r="E25" s="25"/>
      <c r="F25" s="33"/>
      <c r="G25" s="33"/>
      <c r="H25" s="26"/>
      <c r="I25" s="26"/>
      <c r="J25" s="27" t="str">
        <f aca="false">IF(H25="","",IF(H25&gt;$H$5,"🔴 Over Limit",IF(H25&gt;$H$5*0.9,"🟡 Warning","✅ OK")))</f>
        <v/>
      </c>
      <c r="K25" s="27" t="str">
        <f aca="false">IF(I25="","",IF(I25&gt;$I$5,"🔴 Over Limit",IF(I25&gt;$I$5*0.9,"🟡 Warning","✅ OK")))</f>
        <v/>
      </c>
      <c r="L25" s="33"/>
    </row>
    <row r="26" customFormat="false" ht="18" hidden="false" customHeight="true" outlineLevel="0" collapsed="false">
      <c r="B26" s="32"/>
      <c r="C26" s="32"/>
      <c r="D26" s="25"/>
      <c r="E26" s="25"/>
      <c r="F26" s="32"/>
      <c r="G26" s="32"/>
      <c r="H26" s="26"/>
      <c r="I26" s="26"/>
      <c r="J26" s="30" t="str">
        <f aca="false">IF(H26="","",IF(H26&gt;$H$5,"🔴 Over Limit",IF(H26&gt;$H$5*0.9,"🟡 Warning","✅ OK")))</f>
        <v/>
      </c>
      <c r="K26" s="30" t="str">
        <f aca="false">IF(I26="","",IF(I26&gt;$I$5,"🔴 Over Limit",IF(I26&gt;$I$5*0.9,"🟡 Warning","✅ OK")))</f>
        <v/>
      </c>
      <c r="L26" s="32"/>
    </row>
    <row r="27" customFormat="false" ht="18" hidden="false" customHeight="true" outlineLevel="0" collapsed="false">
      <c r="B27" s="33"/>
      <c r="C27" s="33"/>
      <c r="D27" s="25"/>
      <c r="E27" s="25"/>
      <c r="F27" s="33"/>
      <c r="G27" s="33"/>
      <c r="H27" s="26"/>
      <c r="I27" s="26"/>
      <c r="J27" s="27" t="str">
        <f aca="false">IF(H27="","",IF(H27&gt;$H$5,"🔴 Over Limit",IF(H27&gt;$H$5*0.9,"🟡 Warning","✅ OK")))</f>
        <v/>
      </c>
      <c r="K27" s="27" t="str">
        <f aca="false">IF(I27="","",IF(I27&gt;$I$5,"🔴 Over Limit",IF(I27&gt;$I$5*0.9,"🟡 Warning","✅ OK")))</f>
        <v/>
      </c>
      <c r="L27" s="33"/>
    </row>
    <row r="28" customFormat="false" ht="18" hidden="false" customHeight="true" outlineLevel="0" collapsed="false">
      <c r="B28" s="32"/>
      <c r="C28" s="32"/>
      <c r="D28" s="25"/>
      <c r="E28" s="25"/>
      <c r="F28" s="32"/>
      <c r="G28" s="32"/>
      <c r="H28" s="26"/>
      <c r="I28" s="26"/>
      <c r="J28" s="30" t="str">
        <f aca="false">IF(H28="","",IF(H28&gt;$H$5,"🔴 Over Limit",IF(H28&gt;$H$5*0.9,"🟡 Warning","✅ OK")))</f>
        <v/>
      </c>
      <c r="K28" s="30" t="str">
        <f aca="false">IF(I28="","",IF(I28&gt;$I$5,"🔴 Over Limit",IF(I28&gt;$I$5*0.9,"🟡 Warning","✅ OK")))</f>
        <v/>
      </c>
      <c r="L28" s="32"/>
    </row>
    <row r="29" customFormat="false" ht="18" hidden="false" customHeight="true" outlineLevel="0" collapsed="false">
      <c r="B29" s="33"/>
      <c r="C29" s="33"/>
      <c r="D29" s="25"/>
      <c r="E29" s="25"/>
      <c r="F29" s="33"/>
      <c r="G29" s="33"/>
      <c r="H29" s="26"/>
      <c r="I29" s="26"/>
      <c r="J29" s="27" t="str">
        <f aca="false">IF(H29="","",IF(H29&gt;$H$5,"🔴 Over Limit",IF(H29&gt;$H$5*0.9,"🟡 Warning","✅ OK")))</f>
        <v/>
      </c>
      <c r="K29" s="27" t="str">
        <f aca="false">IF(I29="","",IF(I29&gt;$I$5,"🔴 Over Limit",IF(I29&gt;$I$5*0.9,"🟡 Warning","✅ OK")))</f>
        <v/>
      </c>
      <c r="L29" s="33"/>
    </row>
    <row r="30" customFormat="false" ht="18" hidden="false" customHeight="true" outlineLevel="0" collapsed="false">
      <c r="B30" s="32"/>
      <c r="C30" s="32"/>
      <c r="D30" s="25"/>
      <c r="E30" s="25"/>
      <c r="F30" s="32"/>
      <c r="G30" s="32"/>
      <c r="H30" s="26"/>
      <c r="I30" s="26"/>
      <c r="J30" s="30" t="str">
        <f aca="false">IF(H30="","",IF(H30&gt;$H$5,"🔴 Over Limit",IF(H30&gt;$H$5*0.9,"🟡 Warning","✅ OK")))</f>
        <v/>
      </c>
      <c r="K30" s="30" t="str">
        <f aca="false">IF(I30="","",IF(I30&gt;$I$5,"🔴 Over Limit",IF(I30&gt;$I$5*0.9,"🟡 Warning","✅ OK")))</f>
        <v/>
      </c>
      <c r="L30" s="32"/>
    </row>
    <row r="31" customFormat="false" ht="18" hidden="false" customHeight="true" outlineLevel="0" collapsed="false">
      <c r="B31" s="33"/>
      <c r="C31" s="33"/>
      <c r="D31" s="25"/>
      <c r="E31" s="25"/>
      <c r="F31" s="33"/>
      <c r="G31" s="33"/>
      <c r="H31" s="26"/>
      <c r="I31" s="26"/>
      <c r="J31" s="27" t="str">
        <f aca="false">IF(H31="","",IF(H31&gt;$H$5,"🔴 Over Limit",IF(H31&gt;$H$5*0.9,"🟡 Warning","✅ OK")))</f>
        <v/>
      </c>
      <c r="K31" s="27" t="str">
        <f aca="false">IF(I31="","",IF(I31&gt;$I$5,"🔴 Over Limit",IF(I31&gt;$I$5*0.9,"🟡 Warning","✅ OK")))</f>
        <v/>
      </c>
      <c r="L31" s="33"/>
    </row>
    <row r="32" customFormat="false" ht="18" hidden="false" customHeight="true" outlineLevel="0" collapsed="false">
      <c r="B32" s="32"/>
      <c r="C32" s="32"/>
      <c r="D32" s="25"/>
      <c r="E32" s="25"/>
      <c r="F32" s="32"/>
      <c r="G32" s="32"/>
      <c r="H32" s="26"/>
      <c r="I32" s="26"/>
      <c r="J32" s="30" t="str">
        <f aca="false">IF(H32="","",IF(H32&gt;$H$5,"🔴 Over Limit",IF(H32&gt;$H$5*0.9,"🟡 Warning","✅ OK")))</f>
        <v/>
      </c>
      <c r="K32" s="30" t="str">
        <f aca="false">IF(I32="","",IF(I32&gt;$I$5,"🔴 Over Limit",IF(I32&gt;$I$5*0.9,"🟡 Warning","✅ OK")))</f>
        <v/>
      </c>
      <c r="L32" s="32"/>
    </row>
    <row r="33" customFormat="false" ht="18" hidden="false" customHeight="true" outlineLevel="0" collapsed="false">
      <c r="B33" s="33"/>
      <c r="C33" s="33"/>
      <c r="D33" s="25"/>
      <c r="E33" s="25"/>
      <c r="F33" s="33"/>
      <c r="G33" s="33"/>
      <c r="H33" s="26"/>
      <c r="I33" s="26"/>
      <c r="J33" s="27" t="str">
        <f aca="false">IF(H33="","",IF(H33&gt;$H$5,"🔴 Over Limit",IF(H33&gt;$H$5*0.9,"🟡 Warning","✅ OK")))</f>
        <v/>
      </c>
      <c r="K33" s="27" t="str">
        <f aca="false">IF(I33="","",IF(I33&gt;$I$5,"🔴 Over Limit",IF(I33&gt;$I$5*0.9,"🟡 Warning","✅ OK")))</f>
        <v/>
      </c>
      <c r="L33" s="33"/>
    </row>
    <row r="34" customFormat="false" ht="18" hidden="false" customHeight="true" outlineLevel="0" collapsed="false">
      <c r="B34" s="32"/>
      <c r="C34" s="32"/>
      <c r="D34" s="25"/>
      <c r="E34" s="25"/>
      <c r="F34" s="32"/>
      <c r="G34" s="32"/>
      <c r="H34" s="26"/>
      <c r="I34" s="26"/>
      <c r="J34" s="30" t="str">
        <f aca="false">IF(H34="","",IF(H34&gt;$H$5,"🔴 Over Limit",IF(H34&gt;$H$5*0.9,"🟡 Warning","✅ OK")))</f>
        <v/>
      </c>
      <c r="K34" s="30" t="str">
        <f aca="false">IF(I34="","",IF(I34&gt;$I$5,"🔴 Over Limit",IF(I34&gt;$I$5*0.9,"🟡 Warning","✅ OK")))</f>
        <v/>
      </c>
      <c r="L34" s="32"/>
    </row>
    <row r="35" customFormat="false" ht="18" hidden="false" customHeight="true" outlineLevel="0" collapsed="false">
      <c r="B35" s="33"/>
      <c r="C35" s="33"/>
      <c r="D35" s="25"/>
      <c r="E35" s="25"/>
      <c r="F35" s="33"/>
      <c r="G35" s="33"/>
      <c r="H35" s="26"/>
      <c r="I35" s="26"/>
      <c r="J35" s="27" t="str">
        <f aca="false">IF(H35="","",IF(H35&gt;$H$5,"🔴 Over Limit",IF(H35&gt;$H$5*0.9,"🟡 Warning","✅ OK")))</f>
        <v/>
      </c>
      <c r="K35" s="27" t="str">
        <f aca="false">IF(I35="","",IF(I35&gt;$I$5,"🔴 Over Limit",IF(I35&gt;$I$5*0.9,"🟡 Warning","✅ OK")))</f>
        <v/>
      </c>
      <c r="L35" s="33"/>
    </row>
    <row r="36" customFormat="false" ht="18" hidden="false" customHeight="true" outlineLevel="0" collapsed="false">
      <c r="B36" s="32"/>
      <c r="C36" s="32"/>
      <c r="D36" s="25"/>
      <c r="E36" s="25"/>
      <c r="F36" s="32"/>
      <c r="G36" s="32"/>
      <c r="H36" s="26"/>
      <c r="I36" s="26"/>
      <c r="J36" s="30" t="str">
        <f aca="false">IF(H36="","",IF(H36&gt;$H$5,"🔴 Over Limit",IF(H36&gt;$H$5*0.9,"🟡 Warning","✅ OK")))</f>
        <v/>
      </c>
      <c r="K36" s="30" t="str">
        <f aca="false">IF(I36="","",IF(I36&gt;$I$5,"🔴 Over Limit",IF(I36&gt;$I$5*0.9,"🟡 Warning","✅ OK")))</f>
        <v/>
      </c>
      <c r="L36" s="32"/>
    </row>
  </sheetData>
  <mergeCells count="4">
    <mergeCell ref="B1:L1"/>
    <mergeCell ref="B2:L2"/>
    <mergeCell ref="B3:L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20"/>
  </cols>
  <sheetData>
    <row r="1" customFormat="false" ht="30" hidden="false" customHeight="true" outlineLevel="0" collapsed="false">
      <c r="B1" s="16" t="s">
        <v>96</v>
      </c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true" outlineLevel="0" collapsed="false">
      <c r="B2" s="17" t="s">
        <v>97</v>
      </c>
      <c r="C2" s="17"/>
      <c r="D2" s="17"/>
      <c r="E2" s="17"/>
      <c r="F2" s="17"/>
      <c r="G2" s="17"/>
      <c r="H2" s="17"/>
      <c r="I2" s="17"/>
      <c r="J2" s="17"/>
    </row>
    <row r="3" customFormat="false" ht="15" hidden="false" customHeight="true" outlineLevel="0" collapsed="false">
      <c r="B3" s="5" t="s">
        <v>98</v>
      </c>
      <c r="C3" s="5"/>
      <c r="D3" s="5"/>
      <c r="E3" s="5"/>
      <c r="F3" s="5"/>
      <c r="G3" s="5"/>
      <c r="H3" s="5"/>
      <c r="I3" s="5"/>
      <c r="J3" s="5"/>
    </row>
    <row r="4" customFormat="false" ht="19.5" hidden="false" customHeight="true" outlineLevel="0" collapsed="false">
      <c r="B4" s="34" t="s">
        <v>70</v>
      </c>
      <c r="C4" s="19" t="n">
        <f aca="false">SUM(E7:E36)</f>
        <v>213150</v>
      </c>
      <c r="D4" s="19" t="n">
        <f aca="false">SUM(F7:F36)</f>
        <v>8780</v>
      </c>
      <c r="E4" s="35" t="n">
        <f aca="false">IFERROR(D4/(C4+D4),0)</f>
        <v>0.0395620240616411</v>
      </c>
      <c r="F4" s="20" t="n">
        <f aca="false">IFERROR(AVERAGE(I7:I36),0)</f>
        <v>7250</v>
      </c>
      <c r="G4" s="19" t="n">
        <f aca="false">SUM(E7:E36)</f>
        <v>213150</v>
      </c>
      <c r="H4" s="35" t="n">
        <f aca="false">IFERROR(SUM(F7:F36)/(SUM(E7:E36)+SUM(F7:F36)),0)</f>
        <v>0.0395620240616411</v>
      </c>
      <c r="I4" s="34"/>
      <c r="J4" s="34"/>
    </row>
    <row r="6" customFormat="false" ht="30" hidden="false" customHeight="true" outlineLevel="0" collapsed="false">
      <c r="B6" s="6" t="s">
        <v>99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6" t="s">
        <v>58</v>
      </c>
      <c r="I6" s="6" t="s">
        <v>105</v>
      </c>
      <c r="J6" s="6" t="s">
        <v>106</v>
      </c>
      <c r="K6" s="6" t="s">
        <v>107</v>
      </c>
    </row>
    <row r="7" customFormat="false" ht="18" hidden="false" customHeight="true" outlineLevel="0" collapsed="false">
      <c r="B7" s="24" t="s">
        <v>84</v>
      </c>
      <c r="C7" s="36" t="s">
        <v>108</v>
      </c>
      <c r="D7" s="37" t="n">
        <v>45000</v>
      </c>
      <c r="E7" s="37" t="n">
        <v>44800</v>
      </c>
      <c r="F7" s="37" t="n">
        <v>120</v>
      </c>
      <c r="G7" s="38" t="n">
        <f aca="false">IFERROR(F7/(E7+F7),0)</f>
        <v>0.00267141585040071</v>
      </c>
      <c r="H7" s="37" t="s">
        <v>109</v>
      </c>
      <c r="I7" s="37" t="n">
        <v>8200</v>
      </c>
      <c r="J7" s="39" t="n">
        <f aca="false">IFERROR(I7/H7,0)</f>
        <v>0.82</v>
      </c>
      <c r="K7" s="27" t="str">
        <f aca="false">IF(F7&gt;0,IF(J7&gt;0.9,"OOM/Queue Full","Queue Overflow"),"None")</f>
        <v>Queue Overflow</v>
      </c>
    </row>
    <row r="8" customFormat="false" ht="18" hidden="false" customHeight="true" outlineLevel="0" collapsed="false">
      <c r="B8" s="29" t="s">
        <v>88</v>
      </c>
      <c r="C8" s="36" t="s">
        <v>108</v>
      </c>
      <c r="D8" s="37" t="n">
        <v>52000</v>
      </c>
      <c r="E8" s="37" t="n">
        <v>49500</v>
      </c>
      <c r="F8" s="37" t="n">
        <v>2100</v>
      </c>
      <c r="G8" s="38" t="n">
        <f aca="false">IFERROR(F8/(E8+F8),0)</f>
        <v>0.0406976744186047</v>
      </c>
      <c r="H8" s="37" t="s">
        <v>109</v>
      </c>
      <c r="I8" s="37" t="n">
        <v>9800</v>
      </c>
      <c r="J8" s="39" t="n">
        <f aca="false">IFERROR(I8/H8,0)</f>
        <v>0.98</v>
      </c>
      <c r="K8" s="30" t="str">
        <f aca="false">IF(F8&gt;0,IF(J8&gt;0.9,"OOM/Queue Full","Queue Overflow"),"None")</f>
        <v>OOM/Queue Full</v>
      </c>
    </row>
    <row r="9" customFormat="false" ht="18" hidden="false" customHeight="true" outlineLevel="0" collapsed="false">
      <c r="B9" s="24" t="s">
        <v>89</v>
      </c>
      <c r="C9" s="36" t="s">
        <v>108</v>
      </c>
      <c r="D9" s="37" t="n">
        <v>30000</v>
      </c>
      <c r="E9" s="37" t="n">
        <v>29900</v>
      </c>
      <c r="F9" s="37" t="n">
        <v>50</v>
      </c>
      <c r="G9" s="38" t="n">
        <f aca="false">IFERROR(F9/(E9+F9),0)</f>
        <v>0.00166944908180301</v>
      </c>
      <c r="H9" s="37" t="s">
        <v>109</v>
      </c>
      <c r="I9" s="37" t="n">
        <v>5100</v>
      </c>
      <c r="J9" s="39" t="n">
        <f aca="false">IFERROR(I9/H9,0)</f>
        <v>0.51</v>
      </c>
      <c r="K9" s="27" t="str">
        <f aca="false">IF(F9&gt;0,IF(J9&gt;0.9,"OOM/Queue Full","Queue Overflow"),"None")</f>
        <v>Queue Overflow</v>
      </c>
    </row>
    <row r="10" customFormat="false" ht="18" hidden="false" customHeight="true" outlineLevel="0" collapsed="false">
      <c r="B10" s="29" t="s">
        <v>91</v>
      </c>
      <c r="C10" s="36" t="s">
        <v>108</v>
      </c>
      <c r="D10" s="37" t="n">
        <v>18000</v>
      </c>
      <c r="E10" s="37" t="n">
        <v>17950</v>
      </c>
      <c r="F10" s="37" t="n">
        <v>10</v>
      </c>
      <c r="G10" s="38" t="n">
        <f aca="false">IFERROR(F10/(E10+F10),0)</f>
        <v>0.000556792873051225</v>
      </c>
      <c r="H10" s="37" t="s">
        <v>109</v>
      </c>
      <c r="I10" s="37" t="n">
        <v>3200</v>
      </c>
      <c r="J10" s="39" t="n">
        <f aca="false">IFERROR(I10/H10,0)</f>
        <v>0.32</v>
      </c>
      <c r="K10" s="30" t="str">
        <f aca="false">IF(F10&gt;0,IF(J10&gt;0.9,"OOM/Queue Full","Queue Overflow"),"None")</f>
        <v>Queue Overflow</v>
      </c>
    </row>
    <row r="11" customFormat="false" ht="18" hidden="false" customHeight="true" outlineLevel="0" collapsed="false">
      <c r="B11" s="24" t="s">
        <v>95</v>
      </c>
      <c r="C11" s="36" t="s">
        <v>108</v>
      </c>
      <c r="D11" s="37" t="n">
        <v>78000</v>
      </c>
      <c r="E11" s="37" t="n">
        <v>71000</v>
      </c>
      <c r="F11" s="37" t="n">
        <v>6500</v>
      </c>
      <c r="G11" s="38" t="n">
        <f aca="false">IFERROR(F11/(E11+F11),0)</f>
        <v>0.0838709677419355</v>
      </c>
      <c r="H11" s="37" t="s">
        <v>109</v>
      </c>
      <c r="I11" s="37" t="n">
        <v>9950</v>
      </c>
      <c r="J11" s="39" t="n">
        <f aca="false">IFERROR(I11/H11,0)</f>
        <v>0.995</v>
      </c>
      <c r="K11" s="27" t="str">
        <f aca="false">IF(F11&gt;0,IF(J11&gt;0.9,"OOM/Queue Full","Queue Overflow"),"None")</f>
        <v>OOM/Queue Full</v>
      </c>
    </row>
    <row r="12" customFormat="false" ht="18" hidden="false" customHeight="true" outlineLevel="0" collapsed="false">
      <c r="B12" s="32"/>
      <c r="C12" s="32"/>
      <c r="D12" s="37"/>
      <c r="E12" s="37"/>
      <c r="F12" s="37"/>
      <c r="G12" s="38" t="n">
        <f aca="false">IFERROR(F12/(E12+F12),0)</f>
        <v>0</v>
      </c>
      <c r="H12" s="37"/>
      <c r="I12" s="37"/>
      <c r="J12" s="39" t="n">
        <f aca="false">IFERROR(I12/H12,0)</f>
        <v>0</v>
      </c>
      <c r="K12" s="30" t="str">
        <f aca="false">IF(F12&gt;0,IF(J12&gt;0.9,"OOM/Queue Full","Queue Overflow"),"None")</f>
        <v>None</v>
      </c>
    </row>
    <row r="13" customFormat="false" ht="18" hidden="false" customHeight="true" outlineLevel="0" collapsed="false">
      <c r="B13" s="33"/>
      <c r="C13" s="33"/>
      <c r="D13" s="37"/>
      <c r="E13" s="37"/>
      <c r="F13" s="37"/>
      <c r="G13" s="38" t="n">
        <f aca="false">IFERROR(F13/(E13+F13),0)</f>
        <v>0</v>
      </c>
      <c r="H13" s="37"/>
      <c r="I13" s="37"/>
      <c r="J13" s="39" t="n">
        <f aca="false">IFERROR(I13/H13,0)</f>
        <v>0</v>
      </c>
      <c r="K13" s="27" t="str">
        <f aca="false">IF(F13&gt;0,IF(J13&gt;0.9,"OOM/Queue Full","Queue Overflow"),"None")</f>
        <v>None</v>
      </c>
    </row>
    <row r="14" customFormat="false" ht="18" hidden="false" customHeight="true" outlineLevel="0" collapsed="false">
      <c r="B14" s="32"/>
      <c r="C14" s="32"/>
      <c r="D14" s="37"/>
      <c r="E14" s="37"/>
      <c r="F14" s="37"/>
      <c r="G14" s="38" t="n">
        <f aca="false">IFERROR(F14/(E14+F14),0)</f>
        <v>0</v>
      </c>
      <c r="H14" s="37"/>
      <c r="I14" s="37"/>
      <c r="J14" s="39" t="n">
        <f aca="false">IFERROR(I14/H14,0)</f>
        <v>0</v>
      </c>
      <c r="K14" s="30" t="str">
        <f aca="false">IF(F14&gt;0,IF(J14&gt;0.9,"OOM/Queue Full","Queue Overflow"),"None")</f>
        <v>None</v>
      </c>
    </row>
    <row r="15" customFormat="false" ht="18" hidden="false" customHeight="true" outlineLevel="0" collapsed="false">
      <c r="B15" s="33"/>
      <c r="C15" s="33"/>
      <c r="D15" s="37"/>
      <c r="E15" s="37"/>
      <c r="F15" s="37"/>
      <c r="G15" s="38" t="n">
        <f aca="false">IFERROR(F15/(E15+F15),0)</f>
        <v>0</v>
      </c>
      <c r="H15" s="37"/>
      <c r="I15" s="37"/>
      <c r="J15" s="39" t="n">
        <f aca="false">IFERROR(I15/H15,0)</f>
        <v>0</v>
      </c>
      <c r="K15" s="27" t="str">
        <f aca="false">IF(F15&gt;0,IF(J15&gt;0.9,"OOM/Queue Full","Queue Overflow"),"None")</f>
        <v>None</v>
      </c>
    </row>
    <row r="16" customFormat="false" ht="18" hidden="false" customHeight="true" outlineLevel="0" collapsed="false">
      <c r="B16" s="32"/>
      <c r="C16" s="32"/>
      <c r="D16" s="37"/>
      <c r="E16" s="37"/>
      <c r="F16" s="37"/>
      <c r="G16" s="38" t="n">
        <f aca="false">IFERROR(F16/(E16+F16),0)</f>
        <v>0</v>
      </c>
      <c r="H16" s="37"/>
      <c r="I16" s="37"/>
      <c r="J16" s="39" t="n">
        <f aca="false">IFERROR(I16/H16,0)</f>
        <v>0</v>
      </c>
      <c r="K16" s="30" t="str">
        <f aca="false">IF(F16&gt;0,IF(J16&gt;0.9,"OOM/Queue Full","Queue Overflow"),"None")</f>
        <v>None</v>
      </c>
    </row>
    <row r="17" customFormat="false" ht="18" hidden="false" customHeight="true" outlineLevel="0" collapsed="false">
      <c r="B17" s="33"/>
      <c r="C17" s="33"/>
      <c r="D17" s="37"/>
      <c r="E17" s="37"/>
      <c r="F17" s="37"/>
      <c r="G17" s="38" t="n">
        <f aca="false">IFERROR(F17/(E17+F17),0)</f>
        <v>0</v>
      </c>
      <c r="H17" s="37"/>
      <c r="I17" s="37"/>
      <c r="J17" s="39" t="n">
        <f aca="false">IFERROR(I17/H17,0)</f>
        <v>0</v>
      </c>
      <c r="K17" s="27" t="str">
        <f aca="false">IF(F17&gt;0,IF(J17&gt;0.9,"OOM/Queue Full","Queue Overflow"),"None")</f>
        <v>None</v>
      </c>
    </row>
    <row r="18" customFormat="false" ht="18" hidden="false" customHeight="true" outlineLevel="0" collapsed="false">
      <c r="B18" s="32"/>
      <c r="C18" s="32"/>
      <c r="D18" s="37"/>
      <c r="E18" s="37"/>
      <c r="F18" s="37"/>
      <c r="G18" s="38" t="n">
        <f aca="false">IFERROR(F18/(E18+F18),0)</f>
        <v>0</v>
      </c>
      <c r="H18" s="37"/>
      <c r="I18" s="37"/>
      <c r="J18" s="39" t="n">
        <f aca="false">IFERROR(I18/H18,0)</f>
        <v>0</v>
      </c>
      <c r="K18" s="30" t="str">
        <f aca="false">IF(F18&gt;0,IF(J18&gt;0.9,"OOM/Queue Full","Queue Overflow"),"None")</f>
        <v>None</v>
      </c>
    </row>
    <row r="19" customFormat="false" ht="18" hidden="false" customHeight="true" outlineLevel="0" collapsed="false">
      <c r="B19" s="33"/>
      <c r="C19" s="33"/>
      <c r="D19" s="37"/>
      <c r="E19" s="37"/>
      <c r="F19" s="37"/>
      <c r="G19" s="38" t="n">
        <f aca="false">IFERROR(F19/(E19+F19),0)</f>
        <v>0</v>
      </c>
      <c r="H19" s="37"/>
      <c r="I19" s="37"/>
      <c r="J19" s="39" t="n">
        <f aca="false">IFERROR(I19/H19,0)</f>
        <v>0</v>
      </c>
      <c r="K19" s="27" t="str">
        <f aca="false">IF(F19&gt;0,IF(J19&gt;0.9,"OOM/Queue Full","Queue Overflow"),"None")</f>
        <v>None</v>
      </c>
    </row>
    <row r="20" customFormat="false" ht="18" hidden="false" customHeight="true" outlineLevel="0" collapsed="false">
      <c r="B20" s="32"/>
      <c r="C20" s="32"/>
      <c r="D20" s="37"/>
      <c r="E20" s="37"/>
      <c r="F20" s="37"/>
      <c r="G20" s="38" t="n">
        <f aca="false">IFERROR(F20/(E20+F20),0)</f>
        <v>0</v>
      </c>
      <c r="H20" s="37"/>
      <c r="I20" s="37"/>
      <c r="J20" s="39" t="n">
        <f aca="false">IFERROR(I20/H20,0)</f>
        <v>0</v>
      </c>
      <c r="K20" s="30" t="str">
        <f aca="false">IF(F20&gt;0,IF(J20&gt;0.9,"OOM/Queue Full","Queue Overflow"),"None")</f>
        <v>None</v>
      </c>
    </row>
    <row r="21" customFormat="false" ht="18" hidden="false" customHeight="true" outlineLevel="0" collapsed="false">
      <c r="B21" s="33"/>
      <c r="C21" s="33"/>
      <c r="D21" s="37"/>
      <c r="E21" s="37"/>
      <c r="F21" s="37"/>
      <c r="G21" s="38" t="n">
        <f aca="false">IFERROR(F21/(E21+F21),0)</f>
        <v>0</v>
      </c>
      <c r="H21" s="37"/>
      <c r="I21" s="37"/>
      <c r="J21" s="39" t="n">
        <f aca="false">IFERROR(I21/H21,0)</f>
        <v>0</v>
      </c>
      <c r="K21" s="27" t="str">
        <f aca="false">IF(F21&gt;0,IF(J21&gt;0.9,"OOM/Queue Full","Queue Overflow"),"None")</f>
        <v>None</v>
      </c>
    </row>
    <row r="22" customFormat="false" ht="18" hidden="false" customHeight="true" outlineLevel="0" collapsed="false">
      <c r="B22" s="32"/>
      <c r="C22" s="32"/>
      <c r="D22" s="37"/>
      <c r="E22" s="37"/>
      <c r="F22" s="37"/>
      <c r="G22" s="38" t="n">
        <f aca="false">IFERROR(F22/(E22+F22),0)</f>
        <v>0</v>
      </c>
      <c r="H22" s="37"/>
      <c r="I22" s="37"/>
      <c r="J22" s="39" t="n">
        <f aca="false">IFERROR(I22/H22,0)</f>
        <v>0</v>
      </c>
      <c r="K22" s="30" t="str">
        <f aca="false">IF(F22&gt;0,IF(J22&gt;0.9,"OOM/Queue Full","Queue Overflow"),"None")</f>
        <v>None</v>
      </c>
    </row>
    <row r="23" customFormat="false" ht="18" hidden="false" customHeight="true" outlineLevel="0" collapsed="false">
      <c r="B23" s="33"/>
      <c r="C23" s="33"/>
      <c r="D23" s="37"/>
      <c r="E23" s="37"/>
      <c r="F23" s="37"/>
      <c r="G23" s="38" t="n">
        <f aca="false">IFERROR(F23/(E23+F23),0)</f>
        <v>0</v>
      </c>
      <c r="H23" s="37"/>
      <c r="I23" s="37"/>
      <c r="J23" s="39" t="n">
        <f aca="false">IFERROR(I23/H23,0)</f>
        <v>0</v>
      </c>
      <c r="K23" s="27" t="str">
        <f aca="false">IF(F23&gt;0,IF(J23&gt;0.9,"OOM/Queue Full","Queue Overflow"),"None")</f>
        <v>None</v>
      </c>
    </row>
    <row r="24" customFormat="false" ht="18" hidden="false" customHeight="true" outlineLevel="0" collapsed="false">
      <c r="B24" s="32"/>
      <c r="C24" s="32"/>
      <c r="D24" s="37"/>
      <c r="E24" s="37"/>
      <c r="F24" s="37"/>
      <c r="G24" s="38" t="n">
        <f aca="false">IFERROR(F24/(E24+F24),0)</f>
        <v>0</v>
      </c>
      <c r="H24" s="37"/>
      <c r="I24" s="37"/>
      <c r="J24" s="39" t="n">
        <f aca="false">IFERROR(I24/H24,0)</f>
        <v>0</v>
      </c>
      <c r="K24" s="30" t="str">
        <f aca="false">IF(F24&gt;0,IF(J24&gt;0.9,"OOM/Queue Full","Queue Overflow"),"None")</f>
        <v>None</v>
      </c>
    </row>
    <row r="25" customFormat="false" ht="18" hidden="false" customHeight="true" outlineLevel="0" collapsed="false">
      <c r="B25" s="33"/>
      <c r="C25" s="33"/>
      <c r="D25" s="37"/>
      <c r="E25" s="37"/>
      <c r="F25" s="37"/>
      <c r="G25" s="38" t="n">
        <f aca="false">IFERROR(F25/(E25+F25),0)</f>
        <v>0</v>
      </c>
      <c r="H25" s="37"/>
      <c r="I25" s="37"/>
      <c r="J25" s="39" t="n">
        <f aca="false">IFERROR(I25/H25,0)</f>
        <v>0</v>
      </c>
      <c r="K25" s="27" t="str">
        <f aca="false">IF(F25&gt;0,IF(J25&gt;0.9,"OOM/Queue Full","Queue Overflow"),"None")</f>
        <v>None</v>
      </c>
    </row>
    <row r="26" customFormat="false" ht="18" hidden="false" customHeight="true" outlineLevel="0" collapsed="false">
      <c r="B26" s="32"/>
      <c r="C26" s="32"/>
      <c r="D26" s="37"/>
      <c r="E26" s="37"/>
      <c r="F26" s="37"/>
      <c r="G26" s="38" t="n">
        <f aca="false">IFERROR(F26/(E26+F26),0)</f>
        <v>0</v>
      </c>
      <c r="H26" s="37"/>
      <c r="I26" s="37"/>
      <c r="J26" s="39" t="n">
        <f aca="false">IFERROR(I26/H26,0)</f>
        <v>0</v>
      </c>
      <c r="K26" s="30" t="str">
        <f aca="false">IF(F26&gt;0,IF(J26&gt;0.9,"OOM/Queue Full","Queue Overflow"),"None")</f>
        <v>None</v>
      </c>
    </row>
    <row r="27" customFormat="false" ht="18" hidden="false" customHeight="true" outlineLevel="0" collapsed="false">
      <c r="B27" s="33"/>
      <c r="C27" s="33"/>
      <c r="D27" s="37"/>
      <c r="E27" s="37"/>
      <c r="F27" s="37"/>
      <c r="G27" s="38" t="n">
        <f aca="false">IFERROR(F27/(E27+F27),0)</f>
        <v>0</v>
      </c>
      <c r="H27" s="37"/>
      <c r="I27" s="37"/>
      <c r="J27" s="39" t="n">
        <f aca="false">IFERROR(I27/H27,0)</f>
        <v>0</v>
      </c>
      <c r="K27" s="27" t="str">
        <f aca="false">IF(F27&gt;0,IF(J27&gt;0.9,"OOM/Queue Full","Queue Overflow"),"None")</f>
        <v>None</v>
      </c>
    </row>
    <row r="28" customFormat="false" ht="18" hidden="false" customHeight="true" outlineLevel="0" collapsed="false">
      <c r="B28" s="32"/>
      <c r="C28" s="32"/>
      <c r="D28" s="37"/>
      <c r="E28" s="37"/>
      <c r="F28" s="37"/>
      <c r="G28" s="38" t="n">
        <f aca="false">IFERROR(F28/(E28+F28),0)</f>
        <v>0</v>
      </c>
      <c r="H28" s="37"/>
      <c r="I28" s="37"/>
      <c r="J28" s="39" t="n">
        <f aca="false">IFERROR(I28/H28,0)</f>
        <v>0</v>
      </c>
      <c r="K28" s="30" t="str">
        <f aca="false">IF(F28&gt;0,IF(J28&gt;0.9,"OOM/Queue Full","Queue Overflow"),"None")</f>
        <v>None</v>
      </c>
    </row>
    <row r="29" customFormat="false" ht="18" hidden="false" customHeight="true" outlineLevel="0" collapsed="false">
      <c r="B29" s="33"/>
      <c r="C29" s="33"/>
      <c r="D29" s="37"/>
      <c r="E29" s="37"/>
      <c r="F29" s="37"/>
      <c r="G29" s="38" t="n">
        <f aca="false">IFERROR(F29/(E29+F29),0)</f>
        <v>0</v>
      </c>
      <c r="H29" s="37"/>
      <c r="I29" s="37"/>
      <c r="J29" s="39" t="n">
        <f aca="false">IFERROR(I29/H29,0)</f>
        <v>0</v>
      </c>
      <c r="K29" s="27" t="str">
        <f aca="false">IF(F29&gt;0,IF(J29&gt;0.9,"OOM/Queue Full","Queue Overflow"),"None")</f>
        <v>None</v>
      </c>
    </row>
    <row r="30" customFormat="false" ht="18" hidden="false" customHeight="true" outlineLevel="0" collapsed="false">
      <c r="B30" s="32"/>
      <c r="C30" s="32"/>
      <c r="D30" s="37"/>
      <c r="E30" s="37"/>
      <c r="F30" s="37"/>
      <c r="G30" s="38" t="n">
        <f aca="false">IFERROR(F30/(E30+F30),0)</f>
        <v>0</v>
      </c>
      <c r="H30" s="37"/>
      <c r="I30" s="37"/>
      <c r="J30" s="39" t="n">
        <f aca="false">IFERROR(I30/H30,0)</f>
        <v>0</v>
      </c>
      <c r="K30" s="30" t="str">
        <f aca="false">IF(F30&gt;0,IF(J30&gt;0.9,"OOM/Queue Full","Queue Overflow"),"None")</f>
        <v>None</v>
      </c>
    </row>
    <row r="31" customFormat="false" ht="18" hidden="false" customHeight="true" outlineLevel="0" collapsed="false">
      <c r="B31" s="33"/>
      <c r="C31" s="33"/>
      <c r="D31" s="37"/>
      <c r="E31" s="37"/>
      <c r="F31" s="37"/>
      <c r="G31" s="38" t="n">
        <f aca="false">IFERROR(F31/(E31+F31),0)</f>
        <v>0</v>
      </c>
      <c r="H31" s="37"/>
      <c r="I31" s="37"/>
      <c r="J31" s="39" t="n">
        <f aca="false">IFERROR(I31/H31,0)</f>
        <v>0</v>
      </c>
      <c r="K31" s="27" t="str">
        <f aca="false">IF(F31&gt;0,IF(J31&gt;0.9,"OOM/Queue Full","Queue Overflow"),"None")</f>
        <v>None</v>
      </c>
    </row>
    <row r="32" customFormat="false" ht="18" hidden="false" customHeight="true" outlineLevel="0" collapsed="false">
      <c r="B32" s="32"/>
      <c r="C32" s="32"/>
      <c r="D32" s="37"/>
      <c r="E32" s="37"/>
      <c r="F32" s="37"/>
      <c r="G32" s="38" t="n">
        <f aca="false">IFERROR(F32/(E32+F32),0)</f>
        <v>0</v>
      </c>
      <c r="H32" s="37"/>
      <c r="I32" s="37"/>
      <c r="J32" s="39" t="n">
        <f aca="false">IFERROR(I32/H32,0)</f>
        <v>0</v>
      </c>
      <c r="K32" s="30" t="str">
        <f aca="false">IF(F32&gt;0,IF(J32&gt;0.9,"OOM/Queue Full","Queue Overflow"),"None")</f>
        <v>None</v>
      </c>
    </row>
    <row r="33" customFormat="false" ht="18" hidden="false" customHeight="true" outlineLevel="0" collapsed="false">
      <c r="B33" s="33"/>
      <c r="C33" s="33"/>
      <c r="D33" s="37"/>
      <c r="E33" s="37"/>
      <c r="F33" s="37"/>
      <c r="G33" s="38" t="n">
        <f aca="false">IFERROR(F33/(E33+F33),0)</f>
        <v>0</v>
      </c>
      <c r="H33" s="37"/>
      <c r="I33" s="37"/>
      <c r="J33" s="39" t="n">
        <f aca="false">IFERROR(I33/H33,0)</f>
        <v>0</v>
      </c>
      <c r="K33" s="27" t="str">
        <f aca="false">IF(F33&gt;0,IF(J33&gt;0.9,"OOM/Queue Full","Queue Overflow"),"None")</f>
        <v>None</v>
      </c>
    </row>
    <row r="34" customFormat="false" ht="18" hidden="false" customHeight="true" outlineLevel="0" collapsed="false">
      <c r="B34" s="32"/>
      <c r="C34" s="32"/>
      <c r="D34" s="37"/>
      <c r="E34" s="37"/>
      <c r="F34" s="37"/>
      <c r="G34" s="38" t="n">
        <f aca="false">IFERROR(F34/(E34+F34),0)</f>
        <v>0</v>
      </c>
      <c r="H34" s="37"/>
      <c r="I34" s="37"/>
      <c r="J34" s="39" t="n">
        <f aca="false">IFERROR(I34/H34,0)</f>
        <v>0</v>
      </c>
      <c r="K34" s="30" t="str">
        <f aca="false">IF(F34&gt;0,IF(J34&gt;0.9,"OOM/Queue Full","Queue Overflow"),"None")</f>
        <v>None</v>
      </c>
    </row>
    <row r="35" customFormat="false" ht="18" hidden="false" customHeight="true" outlineLevel="0" collapsed="false">
      <c r="B35" s="33"/>
      <c r="C35" s="33"/>
      <c r="D35" s="37"/>
      <c r="E35" s="37"/>
      <c r="F35" s="37"/>
      <c r="G35" s="38" t="n">
        <f aca="false">IFERROR(F35/(E35+F35),0)</f>
        <v>0</v>
      </c>
      <c r="H35" s="37"/>
      <c r="I35" s="37"/>
      <c r="J35" s="39" t="n">
        <f aca="false">IFERROR(I35/H35,0)</f>
        <v>0</v>
      </c>
      <c r="K35" s="27" t="str">
        <f aca="false">IF(F35&gt;0,IF(J35&gt;0.9,"OOM/Queue Full","Queue Overflow"),"None")</f>
        <v>None</v>
      </c>
    </row>
    <row r="36" customFormat="false" ht="18" hidden="false" customHeight="true" outlineLevel="0" collapsed="false">
      <c r="B36" s="32"/>
      <c r="C36" s="32"/>
      <c r="D36" s="37"/>
      <c r="E36" s="37"/>
      <c r="F36" s="37"/>
      <c r="G36" s="38" t="n">
        <f aca="false">IFERROR(F36/(E36+F36),0)</f>
        <v>0</v>
      </c>
      <c r="H36" s="37"/>
      <c r="I36" s="37"/>
      <c r="J36" s="39" t="n">
        <f aca="false">IFERROR(I36/H36,0)</f>
        <v>0</v>
      </c>
      <c r="K36" s="30" t="str">
        <f aca="false">IF(F36&gt;0,IF(J36&gt;0.9,"OOM/Queue Full","Queue Overflow"),"None")</f>
        <v>None</v>
      </c>
    </row>
  </sheetData>
  <mergeCells count="3">
    <mergeCell ref="B1:J1"/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8"/>
  </cols>
  <sheetData>
    <row r="1" customFormat="false" ht="30" hidden="false" customHeight="true" outlineLevel="0" collapsed="false">
      <c r="B1" s="16" t="s">
        <v>110</v>
      </c>
      <c r="C1" s="16"/>
      <c r="D1" s="16"/>
      <c r="E1" s="16"/>
      <c r="F1" s="16"/>
      <c r="G1" s="16"/>
    </row>
    <row r="3" customFormat="false" ht="21.75" hidden="false" customHeight="true" outlineLevel="0" collapsed="false">
      <c r="B3" s="5" t="s">
        <v>111</v>
      </c>
      <c r="C3" s="5"/>
      <c r="D3" s="5"/>
      <c r="E3" s="5"/>
      <c r="F3" s="5"/>
      <c r="G3" s="5"/>
    </row>
    <row r="4" customFormat="false" ht="19.5" hidden="false" customHeight="true" outlineLevel="0" collapsed="false">
      <c r="B4" s="14" t="s">
        <v>112</v>
      </c>
      <c r="C4" s="40" t="n">
        <f aca="false">'Server Inventory'!C4</f>
        <v>5</v>
      </c>
      <c r="D4" s="23" t="s">
        <v>113</v>
      </c>
      <c r="E4" s="41" t="n">
        <f aca="false">'Capacity Model'!C28</f>
        <v>1</v>
      </c>
    </row>
    <row r="5" customFormat="false" ht="19.5" hidden="false" customHeight="true" outlineLevel="0" collapsed="false">
      <c r="B5" s="14" t="s">
        <v>114</v>
      </c>
      <c r="C5" s="39" t="n">
        <f aca="false">'Server Inventory'!H4</f>
        <v>0.642</v>
      </c>
      <c r="D5" s="23" t="s">
        <v>45</v>
      </c>
    </row>
    <row r="6" customFormat="false" ht="19.5" hidden="false" customHeight="true" outlineLevel="0" collapsed="false">
      <c r="B6" s="14" t="s">
        <v>115</v>
      </c>
      <c r="C6" s="39" t="n">
        <f aca="false">'Server Inventory'!I4</f>
        <v>0.7</v>
      </c>
      <c r="D6" s="23" t="s">
        <v>45</v>
      </c>
    </row>
    <row r="7" customFormat="false" ht="19.5" hidden="false" customHeight="true" outlineLevel="0" collapsed="false">
      <c r="B7" s="14" t="s">
        <v>116</v>
      </c>
      <c r="C7" s="40" t="n">
        <f aca="false">'Collector Metrics'!G4</f>
        <v>213150</v>
      </c>
      <c r="D7" s="23" t="s">
        <v>53</v>
      </c>
    </row>
    <row r="8" customFormat="false" ht="19.5" hidden="false" customHeight="true" outlineLevel="0" collapsed="false">
      <c r="B8" s="14" t="s">
        <v>117</v>
      </c>
      <c r="C8" s="42" t="n">
        <f aca="false">'Collector Metrics'!D4</f>
        <v>8780</v>
      </c>
      <c r="D8" s="23" t="s">
        <v>57</v>
      </c>
    </row>
    <row r="9" customFormat="false" ht="19.5" hidden="false" customHeight="true" outlineLevel="0" collapsed="false">
      <c r="B9" s="14" t="s">
        <v>118</v>
      </c>
      <c r="C9" s="42" t="n">
        <f aca="false">'Collector Metrics'!H4</f>
        <v>0.0395620240616411</v>
      </c>
      <c r="D9" s="23" t="s">
        <v>45</v>
      </c>
    </row>
    <row r="11" customFormat="false" ht="21.75" hidden="false" customHeight="true" outlineLevel="0" collapsed="false">
      <c r="B11" s="5" t="s">
        <v>119</v>
      </c>
      <c r="C11" s="5"/>
      <c r="D11" s="5"/>
      <c r="E11" s="5"/>
      <c r="F11" s="5"/>
      <c r="G11" s="5"/>
    </row>
    <row r="12" customFormat="false" ht="19.5" hidden="false" customHeight="true" outlineLevel="0" collapsed="false">
      <c r="B12" s="14" t="s">
        <v>120</v>
      </c>
      <c r="C12" s="22" t="n">
        <v>0.65</v>
      </c>
      <c r="D12" s="23" t="s">
        <v>45</v>
      </c>
      <c r="E12" s="43" t="s">
        <v>121</v>
      </c>
      <c r="F12" s="43"/>
      <c r="G12" s="43"/>
    </row>
    <row r="13" customFormat="false" ht="19.5" hidden="false" customHeight="true" outlineLevel="0" collapsed="false">
      <c r="B13" s="14" t="s">
        <v>122</v>
      </c>
      <c r="C13" s="22" t="n">
        <v>0.7</v>
      </c>
      <c r="D13" s="23" t="s">
        <v>45</v>
      </c>
      <c r="E13" s="43" t="s">
        <v>123</v>
      </c>
      <c r="F13" s="43"/>
      <c r="G13" s="43"/>
    </row>
    <row r="14" customFormat="false" ht="19.5" hidden="false" customHeight="true" outlineLevel="0" collapsed="false">
      <c r="B14" s="14" t="s">
        <v>124</v>
      </c>
      <c r="C14" s="22" t="n">
        <v>0.3</v>
      </c>
      <c r="D14" s="23" t="s">
        <v>45</v>
      </c>
      <c r="E14" s="43" t="s">
        <v>125</v>
      </c>
      <c r="F14" s="43"/>
      <c r="G14" s="43"/>
    </row>
    <row r="15" customFormat="false" ht="19.5" hidden="false" customHeight="true" outlineLevel="0" collapsed="false">
      <c r="B15" s="14" t="s">
        <v>126</v>
      </c>
      <c r="C15" s="37" t="n">
        <v>15000</v>
      </c>
      <c r="D15" s="23" t="s">
        <v>53</v>
      </c>
      <c r="E15" s="43" t="s">
        <v>127</v>
      </c>
      <c r="F15" s="43"/>
      <c r="G15" s="43"/>
    </row>
    <row r="16" customFormat="false" ht="19.5" hidden="false" customHeight="true" outlineLevel="0" collapsed="false">
      <c r="B16" s="14" t="s">
        <v>128</v>
      </c>
      <c r="C16" s="22" t="n">
        <v>0.65</v>
      </c>
      <c r="D16" s="23" t="s">
        <v>45</v>
      </c>
      <c r="E16" s="43" t="s">
        <v>129</v>
      </c>
      <c r="F16" s="43"/>
      <c r="G16" s="43"/>
    </row>
    <row r="17" customFormat="false" ht="19.5" hidden="false" customHeight="true" outlineLevel="0" collapsed="false">
      <c r="B17" s="14" t="s">
        <v>130</v>
      </c>
      <c r="C17" s="44" t="n">
        <v>1.2</v>
      </c>
      <c r="D17" s="23" t="s">
        <v>131</v>
      </c>
      <c r="E17" s="43" t="s">
        <v>132</v>
      </c>
      <c r="F17" s="43"/>
      <c r="G17" s="43"/>
    </row>
    <row r="18" customFormat="false" ht="19.5" hidden="false" customHeight="true" outlineLevel="0" collapsed="false">
      <c r="B18" s="14" t="s">
        <v>133</v>
      </c>
      <c r="C18" s="25" t="n">
        <v>8</v>
      </c>
      <c r="D18" s="23" t="s">
        <v>75</v>
      </c>
      <c r="E18" s="43" t="s">
        <v>134</v>
      </c>
      <c r="F18" s="43"/>
      <c r="G18" s="43"/>
    </row>
    <row r="19" customFormat="false" ht="19.5" hidden="false" customHeight="true" outlineLevel="0" collapsed="false">
      <c r="B19" s="14" t="s">
        <v>135</v>
      </c>
      <c r="C19" s="25" t="n">
        <v>32</v>
      </c>
      <c r="D19" s="23" t="s">
        <v>136</v>
      </c>
      <c r="E19" s="43" t="s">
        <v>134</v>
      </c>
      <c r="F19" s="43"/>
      <c r="G19" s="43"/>
    </row>
    <row r="21" customFormat="false" ht="21.75" hidden="false" customHeight="true" outlineLevel="0" collapsed="false">
      <c r="B21" s="5" t="s">
        <v>137</v>
      </c>
      <c r="C21" s="5"/>
      <c r="D21" s="5"/>
      <c r="E21" s="5"/>
      <c r="F21" s="5"/>
      <c r="G21" s="5"/>
    </row>
    <row r="22" customFormat="false" ht="19.5" hidden="false" customHeight="true" outlineLevel="0" collapsed="false">
      <c r="B22" s="14" t="s">
        <v>138</v>
      </c>
      <c r="C22" s="42" t="n">
        <f aca="false">C8*(1+C14)</f>
        <v>11414</v>
      </c>
      <c r="D22" s="23"/>
      <c r="E22" s="43" t="s">
        <v>139</v>
      </c>
      <c r="F22" s="43"/>
      <c r="G22" s="43"/>
    </row>
    <row r="23" customFormat="false" ht="19.5" hidden="false" customHeight="true" outlineLevel="0" collapsed="false">
      <c r="B23" s="14" t="s">
        <v>140</v>
      </c>
      <c r="C23" s="45" t="n">
        <f aca="false">CEILING(C22/C15,1)</f>
        <v>1</v>
      </c>
      <c r="D23" s="23"/>
      <c r="E23" s="43" t="s">
        <v>141</v>
      </c>
      <c r="F23" s="43"/>
      <c r="G23" s="43"/>
    </row>
    <row r="24" customFormat="false" ht="19.5" hidden="false" customHeight="true" outlineLevel="0" collapsed="false">
      <c r="B24" s="14" t="s">
        <v>142</v>
      </c>
      <c r="C24" s="45" t="n">
        <f aca="false">CEILING(C4*(C5/C12),1)</f>
        <v>5</v>
      </c>
      <c r="D24" s="23" t="s">
        <v>113</v>
      </c>
      <c r="E24" s="43" t="s">
        <v>143</v>
      </c>
      <c r="F24" s="43"/>
      <c r="G24" s="43"/>
    </row>
    <row r="25" customFormat="false" ht="19.5" hidden="false" customHeight="true" outlineLevel="0" collapsed="false">
      <c r="B25" s="14" t="s">
        <v>144</v>
      </c>
      <c r="C25" s="45" t="n">
        <f aca="false">CEILING(C4*(C6/C13),1)</f>
        <v>5</v>
      </c>
      <c r="D25" s="23" t="s">
        <v>113</v>
      </c>
      <c r="E25" s="43" t="s">
        <v>145</v>
      </c>
      <c r="F25" s="43"/>
      <c r="G25" s="43"/>
    </row>
    <row r="26" customFormat="false" ht="19.5" hidden="false" customHeight="true" outlineLevel="0" collapsed="false">
      <c r="B26" s="14" t="s">
        <v>146</v>
      </c>
      <c r="C26" s="45" t="n">
        <f aca="false">MAX(C23,C24,C25)</f>
        <v>5</v>
      </c>
      <c r="D26" s="23"/>
      <c r="E26" s="43" t="s">
        <v>147</v>
      </c>
      <c r="F26" s="43"/>
      <c r="G26" s="43"/>
    </row>
    <row r="27" customFormat="false" ht="19.5" hidden="false" customHeight="true" outlineLevel="0" collapsed="false">
      <c r="B27" s="14" t="s">
        <v>148</v>
      </c>
      <c r="C27" s="45" t="n">
        <f aca="false">CEILING(C26*C17,1)</f>
        <v>6</v>
      </c>
      <c r="D27" s="23"/>
      <c r="E27" s="43" t="s">
        <v>149</v>
      </c>
      <c r="F27" s="43"/>
      <c r="G27" s="43"/>
    </row>
    <row r="28" customFormat="false" ht="19.5" hidden="false" customHeight="true" outlineLevel="0" collapsed="false">
      <c r="B28" s="46" t="s">
        <v>150</v>
      </c>
      <c r="C28" s="47" t="n">
        <f aca="false">MAX(0,C27-C4)</f>
        <v>1</v>
      </c>
      <c r="D28" s="23" t="s">
        <v>113</v>
      </c>
      <c r="E28" s="43" t="s">
        <v>151</v>
      </c>
      <c r="F28" s="43"/>
      <c r="G28" s="43"/>
    </row>
    <row r="29" customFormat="false" ht="19.5" hidden="false" customHeight="true" outlineLevel="0" collapsed="false">
      <c r="B29" s="14" t="s">
        <v>152</v>
      </c>
      <c r="C29" s="45" t="n">
        <f aca="false">C4+C28</f>
        <v>6</v>
      </c>
      <c r="D29" s="23" t="s">
        <v>113</v>
      </c>
      <c r="E29" s="43" t="s">
        <v>153</v>
      </c>
      <c r="F29" s="43"/>
      <c r="G29" s="43"/>
    </row>
    <row r="30" customFormat="false" ht="19.5" hidden="false" customHeight="true" outlineLevel="0" collapsed="false">
      <c r="B30" s="14" t="s">
        <v>154</v>
      </c>
      <c r="C30" s="42" t="n">
        <f aca="false">C28*C18</f>
        <v>8</v>
      </c>
      <c r="D30" s="23"/>
      <c r="E30" s="43" t="s">
        <v>155</v>
      </c>
      <c r="F30" s="43"/>
      <c r="G30" s="43"/>
    </row>
    <row r="31" customFormat="false" ht="19.5" hidden="false" customHeight="true" outlineLevel="0" collapsed="false">
      <c r="B31" s="14" t="s">
        <v>156</v>
      </c>
      <c r="C31" s="48" t="n">
        <f aca="false">C28*C19</f>
        <v>32</v>
      </c>
      <c r="D31" s="23"/>
      <c r="E31" s="43" t="s">
        <v>157</v>
      </c>
      <c r="F31" s="43"/>
      <c r="G31" s="43"/>
    </row>
    <row r="33" customFormat="false" ht="21.75" hidden="false" customHeight="true" outlineLevel="0" collapsed="false">
      <c r="B33" s="5" t="s">
        <v>158</v>
      </c>
      <c r="C33" s="5"/>
      <c r="D33" s="5"/>
      <c r="E33" s="5"/>
      <c r="F33" s="5"/>
      <c r="G33" s="5"/>
    </row>
    <row r="34" customFormat="false" ht="24" hidden="false" customHeight="true" outlineLevel="0" collapsed="false">
      <c r="B34" s="7" t="s">
        <v>159</v>
      </c>
      <c r="C34" s="49" t="str">
        <f aca="false">IF(C28&gt;0,"⚠️  ADD "&amp;C28&amp;" SERVER(S) to avoid data loss","✅  Current fleet is sufficient")</f>
        <v>⚠️  ADD 1 SERVER(S) to avoid data loss</v>
      </c>
      <c r="D34" s="49"/>
      <c r="E34" s="49"/>
      <c r="F34" s="49"/>
      <c r="G34" s="49"/>
    </row>
    <row r="35" customFormat="false" ht="24" hidden="false" customHeight="true" outlineLevel="0" collapsed="false">
      <c r="B35" s="7" t="s">
        <v>160</v>
      </c>
      <c r="C35" s="49" t="str">
        <f aca="false">IF(C24&gt;=C23,"Memory is the binding constraint","Span throughput is the binding constraint")</f>
        <v>Memory is the binding constraint</v>
      </c>
      <c r="D35" s="49"/>
      <c r="E35" s="49"/>
      <c r="F35" s="49"/>
      <c r="G35" s="49"/>
    </row>
    <row r="36" customFormat="false" ht="24" hidden="false" customHeight="true" outlineLevel="0" collapsed="false">
      <c r="B36" s="7" t="s">
        <v>161</v>
      </c>
      <c r="C36" s="49" t="str">
        <f aca="false">IF(C9&gt;0.01,"🔴 IMMEDIATE – Drops already occurring",IF(C5&gt;0.8,"🟡 HIGH – CPU critical soon",IF(C6&gt;0.85,"🟡 HIGH – Memory critical soon","🟢 PLAN – Scale before growth hits")))</f>
        <v>🔴 IMMEDIATE – Drops already occurring</v>
      </c>
      <c r="D36" s="49"/>
      <c r="E36" s="49"/>
      <c r="F36" s="49"/>
      <c r="G36" s="49"/>
    </row>
    <row r="37" customFormat="false" ht="24" hidden="false" customHeight="true" outlineLevel="0" collapsed="false">
      <c r="B37" s="7" t="s">
        <v>162</v>
      </c>
      <c r="C37" s="49" t="str">
        <f aca="false">IF(C9&gt;0.01,"Scale out within 1-2 weeks","Plan scale-out within "&amp;TEXT(ROUND((C12-C5)/C14*6,0),"0")&amp;" months based on growth rate")</f>
        <v>Scale out within 1-2 weeks</v>
      </c>
      <c r="D37" s="49"/>
      <c r="E37" s="49"/>
      <c r="F37" s="49"/>
      <c r="G37" s="49"/>
    </row>
  </sheetData>
  <mergeCells count="27">
    <mergeCell ref="B1:G1"/>
    <mergeCell ref="B3:G3"/>
    <mergeCell ref="B11:G11"/>
    <mergeCell ref="E12:G12"/>
    <mergeCell ref="E13:G13"/>
    <mergeCell ref="E14:G14"/>
    <mergeCell ref="E15:G15"/>
    <mergeCell ref="E16:G16"/>
    <mergeCell ref="E17:G17"/>
    <mergeCell ref="E18:G18"/>
    <mergeCell ref="E19:G19"/>
    <mergeCell ref="B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B33:G33"/>
    <mergeCell ref="C34:G34"/>
    <mergeCell ref="C35:G35"/>
    <mergeCell ref="C36:G36"/>
    <mergeCell ref="C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2026-02-21T09:39:47Z</dcterms:created>
  <dc:creator>openpyxl</dc:creator>
  <dc:description/>
  <dc:language>en-US</dc:language>
  <cp:lastModifiedBy/>
  <dcterms:modified xsi:type="dcterms:W3CDTF">2026-02-21T09:39:47Z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