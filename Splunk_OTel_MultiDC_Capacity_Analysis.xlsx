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🌍 Global Dashboard" sheetId="1" state="visible" r:id="rId3"/>
    <sheet name="📋 How To Use" sheetId="2" state="visible" r:id="rId4"/>
    <sheet name="🖥 DC1 Inventory" sheetId="3" state="visible" r:id="rId5"/>
    <sheet name="📡 DC1 Metrics" sheetId="4" state="visible" r:id="rId6"/>
    <sheet name="⚡ DC1 Capacity" sheetId="5" state="visible" r:id="rId7"/>
    <sheet name="🖥 DC2 Inventory" sheetId="6" state="visible" r:id="rId8"/>
    <sheet name="📡 DC2 Metrics" sheetId="7" state="visible" r:id="rId9"/>
    <sheet name="⚡ DC2 Capacity" sheetId="8" state="visible" r:id="rId10"/>
    <sheet name="🖥 DC3 Inventory" sheetId="9" state="visible" r:id="rId11"/>
    <sheet name="📡 DC3 Metrics" sheetId="10" state="visible" r:id="rId12"/>
    <sheet name="⚡ DC3 Capacity" sheetId="11" state="visible" r:id="rId13"/>
    <sheet name="🖥 DC4 Inventory" sheetId="12" state="visible" r:id="rId14"/>
    <sheet name="📡 DC4 Metrics" sheetId="13" state="visible" r:id="rId15"/>
    <sheet name="⚡ DC4 Capacity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<sst xmlns="http://schemas.openxmlformats.org/spreadsheetml/2006/main" count="547" uniqueCount="195">
  <si>
    <t xml:space="preserve">Splunk Observability Cloud – Multi-DC OTel Collector Capacity Dashboard</t>
  </si>
  <si>
    <t xml:space="preserve">All values auto-calculated from per-DC sheets. Blue cells in DC sheets = manual input.</t>
  </si>
  <si>
    <t xml:space="preserve">PER DATACENTER CAPACITY SUMMARY</t>
  </si>
  <si>
    <t xml:space="preserve">Data Center</t>
  </si>
  <si>
    <t xml:space="preserve">Nodes</t>
  </si>
  <si>
    <t xml:space="preserve">Avg CPU%</t>
  </si>
  <si>
    <t xml:space="preserve">Avg Mem%</t>
  </si>
  <si>
    <t xml:space="preserve">Spans/s Sent</t>
  </si>
  <si>
    <t xml:space="preserve">Drop Rate%</t>
  </si>
  <si>
    <t xml:space="preserve">Servers Needed</t>
  </si>
  <si>
    <t xml:space="preserve">Status</t>
  </si>
  <si>
    <t xml:space="preserve">DC1-US-East</t>
  </si>
  <si>
    <t xml:space="preserve">DC2-US-West</t>
  </si>
  <si>
    <t xml:space="preserve">DC3-EU-Central</t>
  </si>
  <si>
    <t xml:space="preserve">DC4-APAC</t>
  </si>
  <si>
    <t xml:space="preserve">TOTAL / FLEET</t>
  </si>
  <si>
    <t xml:space="preserve">KEY RISK INDICATORS BY DATACENTER</t>
  </si>
  <si>
    <t xml:space="preserve">CPU Risk Nodes</t>
  </si>
  <si>
    <t xml:space="preserve">Mem Risk Nodes</t>
  </si>
  <si>
    <t xml:space="preserve">Nodes w/ Drops</t>
  </si>
  <si>
    <t xml:space="preserve">Binding Constraint</t>
  </si>
  <si>
    <t xml:space="preserve">Urgency</t>
  </si>
  <si>
    <t xml:space="preserve">Additional Servers</t>
  </si>
  <si>
    <t xml:space="preserve">Recommendation</t>
  </si>
  <si>
    <t xml:space="preserve">PROMETHEUS / OTel METRICS REFERENCE  (Pull into DC sheets)</t>
  </si>
  <si>
    <t xml:space="preserve">Metric Description</t>
  </si>
  <si>
    <t xml:space="preserve">Prometheus Metric Name</t>
  </si>
  <si>
    <t xml:space="preserve">Type / Query</t>
  </si>
  <si>
    <t xml:space="preserve">Notes</t>
  </si>
  <si>
    <t xml:space="preserve">Spans sent (success)</t>
  </si>
  <si>
    <t xml:space="preserve">otelcol_exporter_sent_spans</t>
  </si>
  <si>
    <t xml:space="preserve">rate([5m])</t>
  </si>
  <si>
    <t xml:space="preserve">SignalFx exporter → sent_spans counter</t>
  </si>
  <si>
    <t xml:space="preserve">Spans dropped (OOM/queue)</t>
  </si>
  <si>
    <t xml:space="preserve">otelcol_exporter_enqueue_failed_spans</t>
  </si>
  <si>
    <t xml:space="preserve">Key OOM drop indicator</t>
  </si>
  <si>
    <t xml:space="preserve">Queue size</t>
  </si>
  <si>
    <t xml:space="preserve">otelcol_exporter_queue_size</t>
  </si>
  <si>
    <t xml:space="preserve">gauge</t>
  </si>
  <si>
    <t xml:space="preserve">Current items in exporter queue</t>
  </si>
  <si>
    <t xml:space="preserve">Queue capacity</t>
  </si>
  <si>
    <t xml:space="preserve">otelcol_exporter_queue_capacity</t>
  </si>
  <si>
    <t xml:space="preserve">Max queue size (set in collector config)</t>
  </si>
  <si>
    <t xml:space="preserve">Memory RSS</t>
  </si>
  <si>
    <t xml:space="preserve">otelcol_process_memory_rss</t>
  </si>
  <si>
    <t xml:space="preserve">gauge (bytes)</t>
  </si>
  <si>
    <t xml:space="preserve">Compare to node RAM limit</t>
  </si>
  <si>
    <t xml:space="preserve">CPU seconds</t>
  </si>
  <si>
    <t xml:space="preserve">otelcol_process_cpu_seconds_total</t>
  </si>
  <si>
    <t xml:space="preserve">rate([5m])*100</t>
  </si>
  <si>
    <t xml:space="preserve">Multiply by 100 for CPU %</t>
  </si>
  <si>
    <t xml:space="preserve">Receiver accepted</t>
  </si>
  <si>
    <t xml:space="preserve">otelcol_receiver_accepted_spans</t>
  </si>
  <si>
    <t xml:space="preserve">Total ingest rate</t>
  </si>
  <si>
    <t xml:space="preserve">Receiver refused</t>
  </si>
  <si>
    <t xml:space="preserve">otelcol_receiver_refused_spans</t>
  </si>
  <si>
    <t xml:space="preserve">Spans rejected at receiver layer</t>
  </si>
  <si>
    <t xml:space="preserve">How To Use – Multi-DC OTel Capacity Analysis</t>
  </si>
  <si>
    <t xml:space="preserve">STEP 1 – DC Inventory Sheets</t>
  </si>
  <si>
    <t xml:space="preserve">For each DC (DC1–DC4): open the '🖥 DCx Inventory' sheet. Enter server names, vCPUs, RAM(GB), Avg CPU%, Avg Mem% for every collector node in that DC. Pull CPU/Mem from Splunk IM, Prometheus node_exporter, or cloud monitoring (CloudWatch, Azure Monitor). Thresholds (H5/I5) can be adjusted per DC independently.</t>
  </si>
  <si>
    <t xml:space="preserve">STEP 2 – DC Metrics Sheets</t>
  </si>
  <si>
    <t xml:space="preserve">For each DC: open the '📡 DCx Metrics' sheet. Enter per-node: spans received/s, spans sent/s (success), spans dropped (otelcol_exporter_enqueue_failed_spans), queue capacity, queue size. All drop rate and queue fill % columns are auto-calculated.</t>
  </si>
  <si>
    <t xml:space="preserve">STEP 3 – DC Capacity Assumptions</t>
  </si>
  <si>
    <t xml:space="preserve">For each DC: open the '⚡ DCx Capacity' sheet. Review and tune the blue assumption cells: target CPU %, target Mem %, expected span growth rate (per-DC forecast!), max spans/s per node (benchmark from that DC's hardware), safety buffer, new server specs. Different DCs may have different hardware specs – set these independently per DC.</t>
  </si>
  <si>
    <t xml:space="preserve">STEP 4 – Global Dashboard</t>
  </si>
  <si>
    <t xml:space="preserve">Open the '🌍 Global Dashboard' to see the full picture: per-DC node counts, CPU/Mem averages, span throughput, drop rates, and additional servers needed. The TOTAL row shows the fleet-wide aggregate. Red cells = immediate action needed.</t>
  </si>
  <si>
    <t xml:space="preserve">STEP 5 – Share Results</t>
  </si>
  <si>
    <t xml:space="preserve">Share the Global Dashboard tab with leadership. Share individual DC Capacity sheets with the respective DC infrastructure teams. The 'Servers Needed' column on the dashboard drives procurement planning.</t>
  </si>
  <si>
    <t xml:space="preserve">DIAGNOSING OOM DROPS</t>
  </si>
  <si>
    <t xml:space="preserve">OOM drops show up as otelcol_exporter_enqueue_failed_spans &gt; 0. If queue_size = queue_capacity → queue is full (increase sending_queue.queue_size in collector config). If otelcol_process_memory_rss is near node RAM limit → node is truly OOM → add nodes. Check if memory_limiter processor is configured; drops there appear as otelcol_processor_refused_spans.</t>
  </si>
  <si>
    <t xml:space="preserve">SPLUNK IM / PROMETHEUS QUERIES</t>
  </si>
  <si>
    <t xml:space="preserve">CPU %: rate(otelcol_process_cpu_seconds_total[5m]) * 100
Memory GB: otelcol_process_memory_rss / 1073741824
Drop rate: rate(otelcol_exporter_enqueue_failed_spans[5m]) / (rate(otelcol_exporter_sent_spans[5m]) + rate(otelcol_exporter_enqueue_failed_spans[5m]))
Queue fill: otelcol_exporter_queue_size / otelcol_exporter_queue_capacity
Filter by DC: add dimension filter dc=DC1 (requires dc dimension on your collector metrics)</t>
  </si>
  <si>
    <t xml:space="preserve">ADDING MORE DCS</t>
  </si>
  <si>
    <t xml:space="preserve">To add a 5th+ DC: duplicate one of the inventory/metrics/capacity sheet trios, rename them, update the Global Dashboard formulas to reference the new sheets, and add a new row to the per-DC summary and risk tables.</t>
  </si>
  <si>
    <t xml:space="preserve">DC1-US-East – OTel Collector Server Inventory &amp; Resource Utilization</t>
  </si>
  <si>
    <t xml:space="preserve">Blue cells = manual input. Pull CPU/Mem from Splunk IM, Prometheus node_exporter, or CloudWatch.</t>
  </si>
  <si>
    <t xml:space="preserve">DC1-US-East — FLEET SUMMARY (Auto-calculated)</t>
  </si>
  <si>
    <t xml:space="preserve">Summary →</t>
  </si>
  <si>
    <t xml:space="preserve">▶ Thresholds (editable) →</t>
  </si>
  <si>
    <t xml:space="preserve">CPU threshold ↑</t>
  </si>
  <si>
    <t xml:space="preserve">Mem threshold ↑</t>
  </si>
  <si>
    <t xml:space="preserve">← Edit H5/I5 to change</t>
  </si>
  <si>
    <t xml:space="preserve">Server / Node Name</t>
  </si>
  <si>
    <t xml:space="preserve">Environment</t>
  </si>
  <si>
    <t xml:space="preserve">vCPUs</t>
  </si>
  <si>
    <t xml:space="preserve">RAM (GB)</t>
  </si>
  <si>
    <t xml:space="preserve">Collector Version</t>
  </si>
  <si>
    <t xml:space="preserve">Pipelines</t>
  </si>
  <si>
    <t xml:space="preserve">CPU Util %</t>
  </si>
  <si>
    <t xml:space="preserve">Mem Util %</t>
  </si>
  <si>
    <t xml:space="preserve">CPU Status</t>
  </si>
  <si>
    <t xml:space="preserve">Mem Status</t>
  </si>
  <si>
    <t xml:space="preserve">Notes / Tags</t>
  </si>
  <si>
    <t xml:space="preserve">otel-dc1-01</t>
  </si>
  <si>
    <t xml:space="preserve">Prod</t>
  </si>
  <si>
    <t xml:space="preserve">0.96.0</t>
  </si>
  <si>
    <t xml:space="preserve">traces,metrics,logs</t>
  </si>
  <si>
    <t xml:space="preserve">otel-dc1-02</t>
  </si>
  <si>
    <t xml:space="preserve">otel-dc1-03</t>
  </si>
  <si>
    <t xml:space="preserve">traces</t>
  </si>
  <si>
    <t xml:space="preserve">DC1-US-East – OTel Collector Span Metrics &amp; Drop Analysis</t>
  </si>
  <si>
    <t xml:space="preserve">Source: otelcol_exporter_sent_spans | otelcol_exporter_enqueue_failed_spans | otelcol_exporter_queue_size/capacity</t>
  </si>
  <si>
    <t xml:space="preserve">DC1-US-East — SPAN METRICS SUMMARY</t>
  </si>
  <si>
    <t xml:space="preserve">Server / Node</t>
  </si>
  <si>
    <t xml:space="preserve">Time Window</t>
  </si>
  <si>
    <t xml:space="preserve">Spans Recv/s</t>
  </si>
  <si>
    <t xml:space="preserve">Spans Sent/s (OK)</t>
  </si>
  <si>
    <t xml:space="preserve">Spans Dropped</t>
  </si>
  <si>
    <t xml:space="preserve">Drop Rate %</t>
  </si>
  <si>
    <t xml:space="preserve">Queue Capacity</t>
  </si>
  <si>
    <t xml:space="preserve">Queue Size</t>
  </si>
  <si>
    <t xml:space="preserve">Queue Fill %</t>
  </si>
  <si>
    <t xml:space="preserve">Drop Reason</t>
  </si>
  <si>
    <t xml:space="preserve">Last 1h</t>
  </si>
  <si>
    <t xml:space="preserve">DC1-US-East – Capacity Planning Model</t>
  </si>
  <si>
    <t xml:space="preserve">A. CURRENT STATE  (Auto-pulled from Inventory &amp; Metrics sheets)</t>
  </si>
  <si>
    <t xml:space="preserve">Current collector nodes</t>
  </si>
  <si>
    <t xml:space="preserve">nodes</t>
  </si>
  <si>
    <t xml:space="preserve">Avg CPU utilization</t>
  </si>
  <si>
    <t xml:space="preserve">%</t>
  </si>
  <si>
    <t xml:space="preserve">Avg Memory utilization</t>
  </si>
  <si>
    <t xml:space="preserve">Total vCPUs in fleet</t>
  </si>
  <si>
    <t xml:space="preserve">Total RAM in fleet (GB)</t>
  </si>
  <si>
    <t xml:space="preserve">GB</t>
  </si>
  <si>
    <t xml:space="preserve">Total spans/s sent (success)</t>
  </si>
  <si>
    <t xml:space="preserve">spans/s</t>
  </si>
  <si>
    <t xml:space="preserve">Total spans dropped</t>
  </si>
  <si>
    <t xml:space="preserve">spans</t>
  </si>
  <si>
    <t xml:space="preserve">Fleet-wide drop rate</t>
  </si>
  <si>
    <t xml:space="preserve">Nodes with active drops</t>
  </si>
  <si>
    <t xml:space="preserve">B. CAPACITY PLANNING ASSUMPTIONS  (Blue = editable per DC)</t>
  </si>
  <si>
    <t xml:space="preserve">Target CPU utilization (safe ceiling)</t>
  </si>
  <si>
    <t xml:space="preserve">65% leaves headroom for traffic bursts</t>
  </si>
  <si>
    <t xml:space="preserve">Target Memory utilization (safe ceiling)</t>
  </si>
  <si>
    <t xml:space="preserve">70% buffer for GC &amp; queue memory</t>
  </si>
  <si>
    <t xml:space="preserve">Expected span growth rate (next 6 months)</t>
  </si>
  <si>
    <t xml:space="preserve">Adjust per DC traffic forecast</t>
  </si>
  <si>
    <t xml:space="preserve">Max spans/s per collector node (observed peak)</t>
  </si>
  <si>
    <t xml:space="preserve">Benchmark from this DC; adjust for HW</t>
  </si>
  <si>
    <t xml:space="preserve">Safety buffer multiplier</t>
  </si>
  <si>
    <t xml:space="preserve">x</t>
  </si>
  <si>
    <t xml:space="preserve">1.2 = 20% extra headroom</t>
  </si>
  <si>
    <t xml:space="preserve">vCPUs per new server (spec)</t>
  </si>
  <si>
    <t xml:space="preserve">Spec of servers to be added</t>
  </si>
  <si>
    <t xml:space="preserve">RAM per new server (GB spec)</t>
  </si>
  <si>
    <t xml:space="preserve">C. CAPACITY CALCULATIONS  (All formulas – do not edit)</t>
  </si>
  <si>
    <t xml:space="preserve">Projected spans/s after growth</t>
  </si>
  <si>
    <t xml:space="preserve">Current spans × (1 + growth rate)</t>
  </si>
  <si>
    <t xml:space="preserve">Required nodes – Span Throughput</t>
  </si>
  <si>
    <t xml:space="preserve">Projected spans ÷ max spans/node</t>
  </si>
  <si>
    <t xml:space="preserve">Required nodes – CPU Headroom</t>
  </si>
  <si>
    <t xml:space="preserve">Current nodes × (current CPU ÷ target CPU)</t>
  </si>
  <si>
    <t xml:space="preserve">Required nodes – Memory Headroom</t>
  </si>
  <si>
    <t xml:space="preserve">Current nodes × (current Mem ÷ target Mem)</t>
  </si>
  <si>
    <t xml:space="preserve">Worst-case required nodes</t>
  </si>
  <si>
    <t xml:space="preserve">Max across all 3 constraints</t>
  </si>
  <si>
    <t xml:space="preserve">After safety buffer</t>
  </si>
  <si>
    <t xml:space="preserve">Worst-case × safety multiplier</t>
  </si>
  <si>
    <t xml:space="preserve">➤ ADDITIONAL SERVERS NEEDED</t>
  </si>
  <si>
    <t xml:space="preserve">servers</t>
  </si>
  <si>
    <t xml:space="preserve">Required (with buffer) minus current fleet</t>
  </si>
  <si>
    <t xml:space="preserve">Total fleet size after scale-out</t>
  </si>
  <si>
    <t xml:space="preserve">Current + additional</t>
  </si>
  <si>
    <t xml:space="preserve">New vCPUs added</t>
  </si>
  <si>
    <t xml:space="preserve">New servers × vCPUs per server</t>
  </si>
  <si>
    <t xml:space="preserve">New RAM added (GB)</t>
  </si>
  <si>
    <t xml:space="preserve">New servers × RAM per server</t>
  </si>
  <si>
    <t xml:space="preserve">D. RECOMMENDATION</t>
  </si>
  <si>
    <t xml:space="preserve">Decision</t>
  </si>
  <si>
    <t xml:space="preserve">Binding constraint</t>
  </si>
  <si>
    <t xml:space="preserve">Timeline</t>
  </si>
  <si>
    <t xml:space="preserve">DC2-US-West – OTel Collector Server Inventory &amp; Resource Utilization</t>
  </si>
  <si>
    <t xml:space="preserve">DC2-US-West — FLEET SUMMARY (Auto-calculated)</t>
  </si>
  <si>
    <t xml:space="preserve">otel-dc2-01</t>
  </si>
  <si>
    <t xml:space="preserve">traces,metrics</t>
  </si>
  <si>
    <t xml:space="preserve">otel-dc2-02</t>
  </si>
  <si>
    <t xml:space="preserve">DC2-US-West – OTel Collector Span Metrics &amp; Drop Analysis</t>
  </si>
  <si>
    <t xml:space="preserve">DC2-US-West — SPAN METRICS SUMMARY</t>
  </si>
  <si>
    <t xml:space="preserve">DC2-US-West – Capacity Planning Model</t>
  </si>
  <si>
    <t xml:space="preserve">DC3-EU-Central – OTel Collector Server Inventory &amp; Resource Utilization</t>
  </si>
  <si>
    <t xml:space="preserve">DC3-EU-Central — FLEET SUMMARY (Auto-calculated)</t>
  </si>
  <si>
    <t xml:space="preserve">otel-dc3-01</t>
  </si>
  <si>
    <t xml:space="preserve">0.95.0</t>
  </si>
  <si>
    <t xml:space="preserve">otel-dc3-02</t>
  </si>
  <si>
    <t xml:space="preserve">Staging</t>
  </si>
  <si>
    <t xml:space="preserve">traces,logs</t>
  </si>
  <si>
    <t xml:space="preserve">DC3-EU-Central – OTel Collector Span Metrics &amp; Drop Analysis</t>
  </si>
  <si>
    <t xml:space="preserve">DC3-EU-Central — SPAN METRICS SUMMARY</t>
  </si>
  <si>
    <t xml:space="preserve">DC3-EU-Central – Capacity Planning Model</t>
  </si>
  <si>
    <t xml:space="preserve">DC4-APAC – OTel Collector Server Inventory &amp; Resource Utilization</t>
  </si>
  <si>
    <t xml:space="preserve">DC4-APAC — FLEET SUMMARY (Auto-calculated)</t>
  </si>
  <si>
    <t xml:space="preserve">otel-dc4-01</t>
  </si>
  <si>
    <t xml:space="preserve">DC4-APAC – OTel Collector Span Metrics &amp; Drop Analysis</t>
  </si>
  <si>
    <t xml:space="preserve">DC4-APAC — SPAN METRICS SUMMARY</t>
  </si>
  <si>
    <t xml:space="preserve">DC4-APAC – Capacity Planning Model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</si>
</sst>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0%"/>
    <numFmt numFmtId="168" formatCode="0"/>
    <numFmt numFmtId="169" formatCode="General"/>
    <numFmt numFmtId="170" formatCode="0%"/>
    <numFmt numFmtId="171" formatCode="0.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Courier New"/>
      <family val="0"/>
      <charset val="1"/>
    </font>
    <font>
      <b val="true"/>
      <sz val="15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E2EFDA"/>
      </patternFill>
    </fill>
    <fill>
      <patternFill patternType="solid">
        <fgColor rgb="FF7B2D8B"/>
        <bgColor rgb="FF993366"/>
      </patternFill>
    </fill>
    <fill>
      <patternFill patternType="solid">
        <fgColor rgb="FFFFFFFF"/>
        <bgColor rgb="FFF2F2F2"/>
      </patternFill>
    </fill>
    <fill>
      <patternFill patternType="solid">
        <fgColor rgb="FFC55A11"/>
        <bgColor rgb="FF993300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F2F2F2"/>
      </patternFill>
    </fill>
    <fill>
      <patternFill patternType="solid">
        <fgColor rgb="FFFF6B6B"/>
        <bgColor rgb="FFC55A11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EB9C"/>
        <bgColor rgb="FFFFFACD"/>
      </patternFill>
    </fill>
    <fill>
      <patternFill patternType="solid">
        <fgColor rgb="FFFFFACD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B2D8B"/>
      <rgbColor rgb="FFFFFACD"/>
      <rgbColor rgb="FFF2F2F2"/>
      <rgbColor rgb="FF660066"/>
      <rgbColor rgb="FFFF6B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8" min="3" style="0" width="16"/>
    <col collapsed="false" customWidth="true" hidden="false" outlineLevel="0" max="9" min="9" style="0" width="22"/>
  </cols>
  <sheetData>
    <row r="1" customFormat="false" ht="37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</row>
    <row r="5" customFormat="false" ht="25.5" hidden="false" customHeight="true" outlineLevel="0" collapsed="false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customFormat="false" ht="21.75" hidden="false" customHeight="true" outlineLevel="0" collapsed="false">
      <c r="B6" s="5" t="s">
        <v>11</v>
      </c>
      <c r="C6" s="6" t="n">
        <f aca="false">'🖥 DC1 Inventory'!C4</f>
        <v>3</v>
      </c>
      <c r="D6" s="7" t="n">
        <f aca="false">'🖥 DC1 Inventory'!H4</f>
        <v>0.656666666666667</v>
      </c>
      <c r="E6" s="7" t="n">
        <f aca="false">'🖥 DC1 Inventory'!I4</f>
        <v>0.713333333333333</v>
      </c>
      <c r="F6" s="6" t="n">
        <f aca="false">'📡 DC1 Metrics'!C4</f>
        <v>124200</v>
      </c>
      <c r="G6" s="8" t="n">
        <f aca="false">'📡 DC1 Metrics'!E4</f>
        <v>0.0179489206926544</v>
      </c>
      <c r="H6" s="9" t="n">
        <f aca="false">'⚡ DC1 Capacity'!C30</f>
        <v>2</v>
      </c>
      <c r="I6" s="10" t="str">
        <f aca="false">IF('⚡ DC1 Capacity'!C30&gt;0,"⚠️ ADD "&amp;'⚡ DC1 Capacity'!C30&amp;" servers",IF('🖥 DC1 Inventory'!J4&gt;0,"🟡 CPU risk",IF('🖥 DC1 Inventory'!K4&gt;0,"🟡 Mem risk","✅ OK")))</f>
        <v>⚠️ ADD 2 servers</v>
      </c>
    </row>
    <row r="7" customFormat="false" ht="21.75" hidden="false" customHeight="true" outlineLevel="0" collapsed="false">
      <c r="B7" s="11" t="s">
        <v>12</v>
      </c>
      <c r="C7" s="12" t="n">
        <f aca="false">'🖥 DC2 Inventory'!C4</f>
        <v>2</v>
      </c>
      <c r="D7" s="13" t="n">
        <f aca="false">'🖥 DC2 Inventory'!H4</f>
        <v>0.8</v>
      </c>
      <c r="E7" s="13" t="n">
        <f aca="false">'🖥 DC2 Inventory'!I4</f>
        <v>0.835</v>
      </c>
      <c r="F7" s="12" t="n">
        <f aca="false">'📡 DC2 Metrics'!C4</f>
        <v>134000</v>
      </c>
      <c r="G7" s="14" t="n">
        <f aca="false">'📡 DC2 Metrics'!E4</f>
        <v>0.0543401552575865</v>
      </c>
      <c r="H7" s="15" t="n">
        <f aca="false">'⚡ DC2 Capacity'!C30</f>
        <v>2</v>
      </c>
      <c r="I7" s="16" t="str">
        <f aca="false">IF('⚡ DC2 Capacity'!C30&gt;0,"⚠️ ADD "&amp;'⚡ DC2 Capacity'!C30&amp;" servers",IF('🖥 DC2 Inventory'!J4&gt;0,"🟡 CPU risk",IF('🖥 DC2 Inventory'!K4&gt;0,"🟡 Mem risk","✅ OK")))</f>
        <v>⚠️ ADD 2 servers</v>
      </c>
    </row>
    <row r="8" customFormat="false" ht="21.75" hidden="false" customHeight="true" outlineLevel="0" collapsed="false">
      <c r="B8" s="17" t="s">
        <v>13</v>
      </c>
      <c r="C8" s="6" t="n">
        <f aca="false">'🖥 DC3 Inventory'!C4</f>
        <v>2</v>
      </c>
      <c r="D8" s="7" t="n">
        <f aca="false">'🖥 DC3 Inventory'!H4</f>
        <v>0.415</v>
      </c>
      <c r="E8" s="7" t="n">
        <f aca="false">'🖥 DC3 Inventory'!I4</f>
        <v>0.48</v>
      </c>
      <c r="F8" s="6" t="n">
        <f aca="false">'📡 DC3 Metrics'!C4</f>
        <v>33930</v>
      </c>
      <c r="G8" s="8" t="n">
        <f aca="false">'📡 DC3 Metrics'!E4</f>
        <v>0.00117750956726523</v>
      </c>
      <c r="H8" s="9" t="n">
        <f aca="false">'⚡ DC3 Capacity'!C30</f>
        <v>1</v>
      </c>
      <c r="I8" s="10" t="str">
        <f aca="false">IF('⚡ DC3 Capacity'!C30&gt;0,"⚠️ ADD "&amp;'⚡ DC3 Capacity'!C30&amp;" servers",IF('🖥 DC3 Inventory'!J4&gt;0,"🟡 CPU risk",IF('🖥 DC3 Inventory'!K4&gt;0,"🟡 Mem risk","✅ OK")))</f>
        <v>⚠️ ADD 1 servers</v>
      </c>
    </row>
    <row r="9" customFormat="false" ht="21.75" hidden="false" customHeight="true" outlineLevel="0" collapsed="false">
      <c r="B9" s="18" t="s">
        <v>14</v>
      </c>
      <c r="C9" s="12" t="n">
        <f aca="false">'🖥 DC4 Inventory'!C4</f>
        <v>1</v>
      </c>
      <c r="D9" s="13" t="n">
        <f aca="false">'🖥 DC4 Inventory'!H4</f>
        <v>0.61</v>
      </c>
      <c r="E9" s="13" t="n">
        <f aca="false">'🖥 DC4 Inventory'!I4</f>
        <v>0.67</v>
      </c>
      <c r="F9" s="12" t="n">
        <f aca="false">'📡 DC4 Metrics'!C4</f>
        <v>37500</v>
      </c>
      <c r="G9" s="14" t="n">
        <f aca="false">'📡 DC4 Metrics'!E4</f>
        <v>0.0105540897097625</v>
      </c>
      <c r="H9" s="15" t="n">
        <f aca="false">'⚡ DC4 Capacity'!C30</f>
        <v>1</v>
      </c>
      <c r="I9" s="16" t="str">
        <f aca="false">IF('⚡ DC4 Capacity'!C30&gt;0,"⚠️ ADD "&amp;'⚡ DC4 Capacity'!C30&amp;" servers",IF('🖥 DC4 Inventory'!J4&gt;0,"🟡 CPU risk",IF('🖥 DC4 Inventory'!K4&gt;0,"🟡 Mem risk","✅ OK")))</f>
        <v>⚠️ ADD 1 servers</v>
      </c>
    </row>
    <row r="10" customFormat="false" ht="21.75" hidden="false" customHeight="true" outlineLevel="0" collapsed="false">
      <c r="B10" s="19" t="s">
        <v>15</v>
      </c>
      <c r="C10" s="20" t="n">
        <f aca="false">SUM(C6:C9)</f>
        <v>8</v>
      </c>
      <c r="D10" s="21" t="n">
        <f aca="false">AVERAGE(D6:D9)</f>
        <v>0.620416666666667</v>
      </c>
      <c r="E10" s="21" t="n">
        <f aca="false">AVERAGE(E6:E9)</f>
        <v>0.674583333333333</v>
      </c>
      <c r="F10" s="20" t="n">
        <f aca="false">SUM(F6:F9)</f>
        <v>329630</v>
      </c>
      <c r="G10" s="22" t="n">
        <f aca="false">IFERROR(AVERAGE(G6:G9),0)</f>
        <v>0.0210051688068172</v>
      </c>
      <c r="H10" s="23" t="n">
        <f aca="false">SUM(H6:H9)</f>
        <v>6</v>
      </c>
      <c r="I10" s="24" t="str">
        <f aca="false">IF(H10&gt;0,"⚠️ "&amp;H10&amp;" total servers needed across all DCs","✅ All DCs OK")</f>
        <v>⚠️ 6 total servers needed across all DCs</v>
      </c>
    </row>
    <row r="12" customFormat="false" ht="24" hidden="false" customHeight="true" outlineLevel="0" collapsed="false">
      <c r="B12" s="3" t="s">
        <v>16</v>
      </c>
      <c r="C12" s="3"/>
      <c r="D12" s="3"/>
      <c r="E12" s="3"/>
      <c r="F12" s="3"/>
      <c r="G12" s="3"/>
      <c r="H12" s="3"/>
      <c r="I12" s="3"/>
    </row>
    <row r="13" customFormat="false" ht="25.5" hidden="false" customHeight="true" outlineLevel="0" collapsed="false">
      <c r="B13" s="4" t="s">
        <v>3</v>
      </c>
      <c r="C13" s="4" t="s">
        <v>17</v>
      </c>
      <c r="D13" s="4" t="s">
        <v>18</v>
      </c>
      <c r="E13" s="4" t="s">
        <v>19</v>
      </c>
      <c r="F13" s="4" t="s">
        <v>20</v>
      </c>
      <c r="G13" s="4" t="s">
        <v>21</v>
      </c>
      <c r="H13" s="4" t="s">
        <v>22</v>
      </c>
      <c r="I13" s="4" t="s">
        <v>23</v>
      </c>
    </row>
    <row r="14" customFormat="false" ht="21.75" hidden="false" customHeight="true" outlineLevel="0" collapsed="false">
      <c r="B14" s="19" t="s">
        <v>11</v>
      </c>
      <c r="C14" s="9" t="n">
        <f aca="false">'🖥 DC1 Inventory'!J4</f>
        <v>1</v>
      </c>
      <c r="D14" s="9" t="n">
        <f aca="false">'🖥 DC1 Inventory'!K4</f>
        <v>1</v>
      </c>
      <c r="E14" s="9" t="n">
        <f aca="false">'📡 DC1 Metrics'!G4</f>
        <v>3</v>
      </c>
      <c r="F14" s="25" t="str">
        <f aca="false">'⚡ DC1 Capacity'!C37</f>
        <v>Memory is bottleneck</v>
      </c>
      <c r="G14" s="25" t="str">
        <f aca="false">'⚡ DC1 Capacity'!C38</f>
        <v>🔴 IMMEDIATE – Drops actively occurring</v>
      </c>
      <c r="H14" s="26" t="n">
        <f aca="false">'⚡ DC1 Capacity'!C30</f>
        <v>2</v>
      </c>
      <c r="I14" s="25" t="str">
        <f aca="false">'⚡ DC1 Capacity'!C36</f>
        <v>⚠️  ADD 2 SERVER(S) to DC1-US-East to prevent data loss</v>
      </c>
    </row>
    <row r="15" customFormat="false" ht="21.75" hidden="false" customHeight="true" outlineLevel="0" collapsed="false">
      <c r="B15" s="27" t="s">
        <v>12</v>
      </c>
      <c r="C15" s="15" t="n">
        <f aca="false">'🖥 DC2 Inventory'!J4</f>
        <v>2</v>
      </c>
      <c r="D15" s="15" t="n">
        <f aca="false">'🖥 DC2 Inventory'!K4</f>
        <v>2</v>
      </c>
      <c r="E15" s="15" t="n">
        <f aca="false">'📡 DC2 Metrics'!G4</f>
        <v>2</v>
      </c>
      <c r="F15" s="28" t="str">
        <f aca="false">'⚡ DC2 Capacity'!C37</f>
        <v>Memory is bottleneck</v>
      </c>
      <c r="G15" s="28" t="str">
        <f aca="false">'⚡ DC2 Capacity'!C38</f>
        <v>🔴 IMMEDIATE – Drops actively occurring</v>
      </c>
      <c r="H15" s="29" t="n">
        <f aca="false">'⚡ DC2 Capacity'!C30</f>
        <v>2</v>
      </c>
      <c r="I15" s="28" t="str">
        <f aca="false">'⚡ DC2 Capacity'!C36</f>
        <v>⚠️  ADD 2 SERVER(S) to DC2-US-West to prevent data loss</v>
      </c>
    </row>
    <row r="16" customFormat="false" ht="21.75" hidden="false" customHeight="true" outlineLevel="0" collapsed="false">
      <c r="B16" s="30" t="s">
        <v>13</v>
      </c>
      <c r="C16" s="9" t="n">
        <f aca="false">'🖥 DC3 Inventory'!J4</f>
        <v>0</v>
      </c>
      <c r="D16" s="9" t="n">
        <f aca="false">'🖥 DC3 Inventory'!K4</f>
        <v>0</v>
      </c>
      <c r="E16" s="9" t="n">
        <f aca="false">'📡 DC3 Metrics'!G4</f>
        <v>2</v>
      </c>
      <c r="F16" s="25" t="str">
        <f aca="false">'⚡ DC3 Capacity'!C37</f>
        <v>Memory is bottleneck</v>
      </c>
      <c r="G16" s="25" t="str">
        <f aca="false">'⚡ DC3 Capacity'!C38</f>
        <v>🔴 IMMEDIATE – Drops actively occurring</v>
      </c>
      <c r="H16" s="26" t="n">
        <f aca="false">'⚡ DC3 Capacity'!C30</f>
        <v>1</v>
      </c>
      <c r="I16" s="25" t="str">
        <f aca="false">'⚡ DC3 Capacity'!C36</f>
        <v>⚠️  ADD 1 SERVER(S) to DC3-EU-Central to prevent data loss</v>
      </c>
    </row>
    <row r="17" customFormat="false" ht="21.75" hidden="false" customHeight="true" outlineLevel="0" collapsed="false">
      <c r="B17" s="31" t="s">
        <v>14</v>
      </c>
      <c r="C17" s="15" t="n">
        <f aca="false">'🖥 DC4 Inventory'!J4</f>
        <v>0</v>
      </c>
      <c r="D17" s="15" t="n">
        <f aca="false">'🖥 DC4 Inventory'!K4</f>
        <v>0</v>
      </c>
      <c r="E17" s="15" t="n">
        <f aca="false">'📡 DC4 Metrics'!G4</f>
        <v>1</v>
      </c>
      <c r="F17" s="28" t="str">
        <f aca="false">'⚡ DC4 Capacity'!C37</f>
        <v>Memory is bottleneck</v>
      </c>
      <c r="G17" s="28" t="str">
        <f aca="false">'⚡ DC4 Capacity'!C38</f>
        <v>🔴 IMMEDIATE – Drops actively occurring</v>
      </c>
      <c r="H17" s="29" t="n">
        <f aca="false">'⚡ DC4 Capacity'!C30</f>
        <v>1</v>
      </c>
      <c r="I17" s="28" t="str">
        <f aca="false">'⚡ DC4 Capacity'!C36</f>
        <v>⚠️  ADD 1 SERVER(S) to DC4-APAC to prevent data loss</v>
      </c>
    </row>
    <row r="19" customFormat="false" ht="21.75" hidden="false" customHeight="true" outlineLevel="0" collapsed="false">
      <c r="B19" s="3" t="s">
        <v>24</v>
      </c>
      <c r="C19" s="3"/>
      <c r="D19" s="3"/>
      <c r="E19" s="3"/>
      <c r="F19" s="3"/>
      <c r="G19" s="3"/>
      <c r="H19" s="3"/>
      <c r="I19" s="3"/>
    </row>
    <row r="20" customFormat="false" ht="26.85" hidden="false" customHeight="true" outlineLevel="0" collapsed="false">
      <c r="B20" s="4" t="s">
        <v>25</v>
      </c>
      <c r="C20" s="4" t="s">
        <v>26</v>
      </c>
      <c r="D20" s="4" t="s">
        <v>27</v>
      </c>
      <c r="E20" s="4"/>
      <c r="F20" s="4"/>
      <c r="G20" s="4"/>
      <c r="H20" s="4"/>
      <c r="I20" s="4" t="s">
        <v>28</v>
      </c>
    </row>
    <row r="21" customFormat="false" ht="18" hidden="false" customHeight="true" outlineLevel="0" collapsed="false">
      <c r="B21" s="25" t="s">
        <v>29</v>
      </c>
      <c r="C21" s="32" t="s">
        <v>30</v>
      </c>
      <c r="D21" s="33" t="s">
        <v>31</v>
      </c>
      <c r="E21" s="33"/>
      <c r="F21" s="33"/>
      <c r="G21" s="33"/>
      <c r="H21" s="33"/>
      <c r="I21" s="34" t="s">
        <v>32</v>
      </c>
    </row>
    <row r="22" customFormat="false" ht="18" hidden="false" customHeight="true" outlineLevel="0" collapsed="false">
      <c r="B22" s="28" t="s">
        <v>33</v>
      </c>
      <c r="C22" s="32" t="s">
        <v>34</v>
      </c>
      <c r="D22" s="35" t="s">
        <v>31</v>
      </c>
      <c r="E22" s="35"/>
      <c r="F22" s="35"/>
      <c r="G22" s="35"/>
      <c r="H22" s="35"/>
      <c r="I22" s="36" t="s">
        <v>35</v>
      </c>
    </row>
    <row r="23" customFormat="false" ht="18" hidden="false" customHeight="true" outlineLevel="0" collapsed="false">
      <c r="B23" s="25" t="s">
        <v>36</v>
      </c>
      <c r="C23" s="32" t="s">
        <v>37</v>
      </c>
      <c r="D23" s="33" t="s">
        <v>38</v>
      </c>
      <c r="E23" s="33"/>
      <c r="F23" s="33"/>
      <c r="G23" s="33"/>
      <c r="H23" s="33"/>
      <c r="I23" s="34" t="s">
        <v>39</v>
      </c>
    </row>
    <row r="24" customFormat="false" ht="18" hidden="false" customHeight="true" outlineLevel="0" collapsed="false">
      <c r="B24" s="28" t="s">
        <v>40</v>
      </c>
      <c r="C24" s="32" t="s">
        <v>41</v>
      </c>
      <c r="D24" s="35" t="s">
        <v>38</v>
      </c>
      <c r="E24" s="35"/>
      <c r="F24" s="35"/>
      <c r="G24" s="35"/>
      <c r="H24" s="35"/>
      <c r="I24" s="36" t="s">
        <v>42</v>
      </c>
    </row>
    <row r="25" customFormat="false" ht="18" hidden="false" customHeight="true" outlineLevel="0" collapsed="false">
      <c r="B25" s="25" t="s">
        <v>43</v>
      </c>
      <c r="C25" s="32" t="s">
        <v>44</v>
      </c>
      <c r="D25" s="33" t="s">
        <v>45</v>
      </c>
      <c r="E25" s="33"/>
      <c r="F25" s="33"/>
      <c r="G25" s="33"/>
      <c r="H25" s="33"/>
      <c r="I25" s="34" t="s">
        <v>46</v>
      </c>
    </row>
    <row r="26" customFormat="false" ht="18" hidden="false" customHeight="true" outlineLevel="0" collapsed="false">
      <c r="B26" s="28" t="s">
        <v>47</v>
      </c>
      <c r="C26" s="32" t="s">
        <v>48</v>
      </c>
      <c r="D26" s="35" t="s">
        <v>49</v>
      </c>
      <c r="E26" s="35"/>
      <c r="F26" s="35"/>
      <c r="G26" s="35"/>
      <c r="H26" s="35"/>
      <c r="I26" s="36" t="s">
        <v>50</v>
      </c>
    </row>
    <row r="27" customFormat="false" ht="18" hidden="false" customHeight="true" outlineLevel="0" collapsed="false">
      <c r="B27" s="25" t="s">
        <v>51</v>
      </c>
      <c r="C27" s="32" t="s">
        <v>52</v>
      </c>
      <c r="D27" s="33" t="s">
        <v>31</v>
      </c>
      <c r="E27" s="33"/>
      <c r="F27" s="33"/>
      <c r="G27" s="33"/>
      <c r="H27" s="33"/>
      <c r="I27" s="34" t="s">
        <v>53</v>
      </c>
    </row>
    <row r="28" customFormat="false" ht="18" hidden="false" customHeight="true" outlineLevel="0" collapsed="false">
      <c r="B28" s="28" t="s">
        <v>54</v>
      </c>
      <c r="C28" s="32" t="s">
        <v>55</v>
      </c>
      <c r="D28" s="35" t="s">
        <v>31</v>
      </c>
      <c r="E28" s="35"/>
      <c r="F28" s="35"/>
      <c r="G28" s="35"/>
      <c r="H28" s="35"/>
      <c r="I28" s="36" t="s">
        <v>56</v>
      </c>
    </row>
  </sheetData>
  <mergeCells count="14">
    <mergeCell ref="B1:I1"/>
    <mergeCell ref="B2:I2"/>
    <mergeCell ref="B4:I4"/>
    <mergeCell ref="B12:I12"/>
    <mergeCell ref="B19:I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5"/>
  </cols>
  <sheetData>
    <row r="1" customFormat="false" ht="36" hidden="false" customHeight="true" outlineLevel="0" collapsed="false">
      <c r="B1" s="1" t="s">
        <v>57</v>
      </c>
      <c r="C1" s="1"/>
    </row>
    <row r="3" customFormat="false" ht="21.75" hidden="false" customHeight="true" outlineLevel="0" collapsed="false">
      <c r="B3" s="37" t="s">
        <v>58</v>
      </c>
      <c r="C3" s="37"/>
    </row>
    <row r="4" customFormat="false" ht="102.75" hidden="false" customHeight="true" outlineLevel="0" collapsed="false">
      <c r="B4" s="38" t="s">
        <v>59</v>
      </c>
      <c r="C4" s="38"/>
    </row>
    <row r="5" customFormat="false" ht="6" hidden="false" customHeight="true" outlineLevel="0" collapsed="false"/>
    <row r="7" customFormat="false" ht="21.75" hidden="false" customHeight="true" outlineLevel="0" collapsed="false">
      <c r="B7" s="37" t="s">
        <v>60</v>
      </c>
      <c r="C7" s="37"/>
    </row>
    <row r="8" customFormat="false" ht="81" hidden="false" customHeight="true" outlineLevel="0" collapsed="false">
      <c r="B8" s="38" t="s">
        <v>61</v>
      </c>
      <c r="C8" s="38"/>
    </row>
    <row r="9" customFormat="false" ht="6" hidden="false" customHeight="true" outlineLevel="0" collapsed="false"/>
    <row r="11" customFormat="false" ht="21.75" hidden="false" customHeight="true" outlineLevel="0" collapsed="false">
      <c r="B11" s="37" t="s">
        <v>62</v>
      </c>
      <c r="C11" s="37"/>
    </row>
    <row r="12" customFormat="false" ht="111" hidden="false" customHeight="true" outlineLevel="0" collapsed="false">
      <c r="B12" s="38" t="s">
        <v>63</v>
      </c>
      <c r="C12" s="38"/>
    </row>
    <row r="13" customFormat="false" ht="6" hidden="false" customHeight="true" outlineLevel="0" collapsed="false"/>
    <row r="15" customFormat="false" ht="21.75" hidden="false" customHeight="true" outlineLevel="0" collapsed="false">
      <c r="B15" s="37" t="s">
        <v>64</v>
      </c>
      <c r="C15" s="37"/>
    </row>
    <row r="16" customFormat="false" ht="78" hidden="false" customHeight="true" outlineLevel="0" collapsed="false">
      <c r="B16" s="38" t="s">
        <v>65</v>
      </c>
      <c r="C16" s="38"/>
    </row>
    <row r="17" customFormat="false" ht="6" hidden="false" customHeight="true" outlineLevel="0" collapsed="false"/>
    <row r="19" customFormat="false" ht="21.75" hidden="false" customHeight="true" outlineLevel="0" collapsed="false">
      <c r="B19" s="37" t="s">
        <v>66</v>
      </c>
      <c r="C19" s="37"/>
    </row>
    <row r="20" customFormat="false" ht="66.75" hidden="false" customHeight="true" outlineLevel="0" collapsed="false">
      <c r="B20" s="38" t="s">
        <v>67</v>
      </c>
      <c r="C20" s="38"/>
    </row>
    <row r="21" customFormat="false" ht="6" hidden="false" customHeight="true" outlineLevel="0" collapsed="false"/>
    <row r="23" customFormat="false" ht="21.75" hidden="false" customHeight="true" outlineLevel="0" collapsed="false">
      <c r="B23" s="37" t="s">
        <v>68</v>
      </c>
      <c r="C23" s="37"/>
    </row>
    <row r="24" customFormat="false" ht="118.5" hidden="false" customHeight="true" outlineLevel="0" collapsed="false">
      <c r="B24" s="38" t="s">
        <v>69</v>
      </c>
      <c r="C24" s="38"/>
    </row>
    <row r="25" customFormat="false" ht="6" hidden="false" customHeight="true" outlineLevel="0" collapsed="false"/>
    <row r="27" customFormat="false" ht="21.75" hidden="false" customHeight="true" outlineLevel="0" collapsed="false">
      <c r="B27" s="37" t="s">
        <v>70</v>
      </c>
      <c r="C27" s="37"/>
    </row>
    <row r="28" customFormat="false" ht="141" hidden="false" customHeight="true" outlineLevel="0" collapsed="false">
      <c r="B28" s="38" t="s">
        <v>71</v>
      </c>
      <c r="C28" s="38"/>
    </row>
    <row r="29" customFormat="false" ht="6" hidden="false" customHeight="true" outlineLevel="0" collapsed="false"/>
    <row r="31" customFormat="false" ht="21.75" hidden="false" customHeight="true" outlineLevel="0" collapsed="false">
      <c r="B31" s="37" t="s">
        <v>72</v>
      </c>
      <c r="C31" s="37"/>
    </row>
    <row r="32" customFormat="false" ht="70.5" hidden="false" customHeight="true" outlineLevel="0" collapsed="false">
      <c r="B32" s="38" t="s">
        <v>73</v>
      </c>
      <c r="C32" s="38"/>
    </row>
    <row r="33" customFormat="false" ht="6" hidden="false" customHeight="true" outlineLevel="0" collapsed="false"/>
  </sheetData>
  <mergeCells count="17">
    <mergeCell ref="B1:C1"/>
    <mergeCell ref="B3:C3"/>
    <mergeCell ref="B4:C4"/>
    <mergeCell ref="B7:C7"/>
    <mergeCell ref="B8:C8"/>
    <mergeCell ref="B11:C11"/>
    <mergeCell ref="B12:C12"/>
    <mergeCell ref="B15:C15"/>
    <mergeCell ref="B16:C16"/>
    <mergeCell ref="B19:C19"/>
    <mergeCell ref="B20:C20"/>
    <mergeCell ref="B23:C23"/>
    <mergeCell ref="B24:C24"/>
    <mergeCell ref="B27:C27"/>
    <mergeCell ref="B28:C28"/>
    <mergeCell ref="B31:C31"/>
    <mergeCell ref="B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1" min="10" style="0" width="14"/>
    <col collapsed="false" customWidth="true" hidden="false" outlineLevel="0" max="12" min="12" style="0" width="20"/>
  </cols>
  <sheetData>
    <row r="1" customFormat="false" ht="31.5" hidden="false" customHeight="true" outlineLevel="0" collapsed="false">
      <c r="B1" s="39" t="s">
        <v>74</v>
      </c>
      <c r="C1" s="39"/>
      <c r="D1" s="39"/>
      <c r="E1" s="39"/>
      <c r="F1" s="39"/>
      <c r="G1" s="39"/>
      <c r="H1" s="39"/>
      <c r="I1" s="39"/>
      <c r="J1" s="39"/>
      <c r="K1" s="39"/>
      <c r="L1" s="39"/>
    </row>
    <row r="2" customFormat="false" ht="15" hidden="false" customHeight="true" outlineLevel="0" collapsed="false">
      <c r="B2" s="40" t="s">
        <v>75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customFormat="false" ht="21.75" hidden="false" customHeight="true" outlineLevel="0" collapsed="false">
      <c r="B3" s="3" t="s">
        <v>76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9.5" hidden="false" customHeight="true" outlineLevel="0" collapsed="false">
      <c r="B4" s="41" t="s">
        <v>77</v>
      </c>
      <c r="C4" s="42" t="n">
        <f aca="false">COUNTA(B7:B56)</f>
        <v>3</v>
      </c>
      <c r="D4" s="42" t="n">
        <f aca="false">SUM(D7:D56)</f>
        <v>24</v>
      </c>
      <c r="E4" s="42" t="n">
        <f aca="false">SUM(E7:E56)</f>
        <v>96</v>
      </c>
      <c r="H4" s="21" t="n">
        <f aca="false">IFERROR(AVERAGEIF(H7:H56,"&gt;0"),0)</f>
        <v>0.656666666666667</v>
      </c>
      <c r="I4" s="21" t="n">
        <f aca="false">IFERROR(AVERAGEIF(I7:I56,"&gt;0"),0)</f>
        <v>0.713333333333333</v>
      </c>
      <c r="J4" s="42" t="n">
        <f aca="false">COUNTIF(H7:H56,"&gt;"&amp;H5)</f>
        <v>1</v>
      </c>
      <c r="K4" s="42" t="n">
        <f aca="false">COUNTIF(I7:I56,"&gt;"&amp;I5)</f>
        <v>1</v>
      </c>
    </row>
    <row r="5" customFormat="false" ht="18" hidden="false" customHeight="true" outlineLevel="0" collapsed="false">
      <c r="B5" s="43" t="s">
        <v>78</v>
      </c>
      <c r="C5" s="43"/>
      <c r="D5" s="43"/>
      <c r="E5" s="43"/>
      <c r="F5" s="43"/>
      <c r="G5" s="43"/>
      <c r="H5" s="44" t="n">
        <v>0.7</v>
      </c>
      <c r="I5" s="44" t="n">
        <v>0.75</v>
      </c>
      <c r="J5" s="45" t="s">
        <v>79</v>
      </c>
      <c r="K5" s="45" t="s">
        <v>80</v>
      </c>
      <c r="L5" s="45" t="s">
        <v>81</v>
      </c>
    </row>
    <row r="6" customFormat="false" ht="27.75" hidden="false" customHeight="true" outlineLevel="0" collapsed="false">
      <c r="B6" s="4" t="s">
        <v>82</v>
      </c>
      <c r="C6" s="4" t="s">
        <v>83</v>
      </c>
      <c r="D6" s="4" t="s">
        <v>84</v>
      </c>
      <c r="E6" s="4" t="s">
        <v>85</v>
      </c>
      <c r="F6" s="4" t="s">
        <v>86</v>
      </c>
      <c r="G6" s="4" t="s">
        <v>87</v>
      </c>
      <c r="H6" s="4" t="s">
        <v>88</v>
      </c>
      <c r="I6" s="4" t="s">
        <v>89</v>
      </c>
      <c r="J6" s="4" t="s">
        <v>90</v>
      </c>
      <c r="K6" s="4" t="s">
        <v>91</v>
      </c>
      <c r="L6" s="4" t="s">
        <v>92</v>
      </c>
    </row>
    <row r="7" customFormat="false" ht="18" hidden="false" customHeight="true" outlineLevel="0" collapsed="false">
      <c r="B7" s="25" t="s">
        <v>93</v>
      </c>
      <c r="C7" s="25" t="s">
        <v>94</v>
      </c>
      <c r="D7" s="46" t="n">
        <v>8</v>
      </c>
      <c r="E7" s="46" t="n">
        <v>32</v>
      </c>
      <c r="F7" s="25" t="s">
        <v>95</v>
      </c>
      <c r="G7" s="25" t="s">
        <v>96</v>
      </c>
      <c r="H7" s="47" t="n">
        <v>0.68</v>
      </c>
      <c r="I7" s="47" t="n">
        <v>0.72</v>
      </c>
      <c r="J7" s="10" t="str">
        <f aca="false">IF(H7="","",IF(H7&gt;$H$5,"🔴 Over Limit",IF(H7&gt;$H$5*0.9,"🟡 Warning","✅ OK")))</f>
        <v>🟡 Warning</v>
      </c>
      <c r="K7" s="10" t="str">
        <f aca="false">IF(I7="","",IF(I7&gt;$I$5,"🔴 Over Limit",IF(I7&gt;$I$5*0.9,"🟡 Warning","✅ OK")))</f>
        <v>🟡 Warning</v>
      </c>
      <c r="L7" s="25" t="s">
        <v>95</v>
      </c>
    </row>
    <row r="8" customFormat="false" ht="18" hidden="false" customHeight="true" outlineLevel="0" collapsed="false">
      <c r="B8" s="28" t="s">
        <v>97</v>
      </c>
      <c r="C8" s="28" t="s">
        <v>94</v>
      </c>
      <c r="D8" s="46" t="n">
        <v>8</v>
      </c>
      <c r="E8" s="46" t="n">
        <v>32</v>
      </c>
      <c r="F8" s="28" t="s">
        <v>95</v>
      </c>
      <c r="G8" s="28" t="s">
        <v>96</v>
      </c>
      <c r="H8" s="47" t="n">
        <v>0.74</v>
      </c>
      <c r="I8" s="47" t="n">
        <v>0.81</v>
      </c>
      <c r="J8" s="16" t="str">
        <f aca="false">IF(H8="","",IF(H8&gt;$H$5,"🔴 Over Limit",IF(H8&gt;$H$5*0.9,"🟡 Warning","✅ OK")))</f>
        <v>🔴 Over Limit</v>
      </c>
      <c r="K8" s="16" t="str">
        <f aca="false">IF(I8="","",IF(I8&gt;$I$5,"🔴 Over Limit",IF(I8&gt;$I$5*0.9,"🟡 Warning","✅ OK")))</f>
        <v>🔴 Over Limit</v>
      </c>
      <c r="L8" s="28" t="s">
        <v>95</v>
      </c>
    </row>
    <row r="9" customFormat="false" ht="18" hidden="false" customHeight="true" outlineLevel="0" collapsed="false">
      <c r="B9" s="25" t="s">
        <v>98</v>
      </c>
      <c r="C9" s="25" t="s">
        <v>94</v>
      </c>
      <c r="D9" s="46" t="n">
        <v>8</v>
      </c>
      <c r="E9" s="46" t="n">
        <v>32</v>
      </c>
      <c r="F9" s="25" t="s">
        <v>95</v>
      </c>
      <c r="G9" s="25" t="s">
        <v>99</v>
      </c>
      <c r="H9" s="47" t="n">
        <v>0.55</v>
      </c>
      <c r="I9" s="47" t="n">
        <v>0.61</v>
      </c>
      <c r="J9" s="10" t="str">
        <f aca="false">IF(H9="","",IF(H9&gt;$H$5,"🔴 Over Limit",IF(H9&gt;$H$5*0.9,"🟡 Warning","✅ OK")))</f>
        <v>✅ OK</v>
      </c>
      <c r="K9" s="10" t="str">
        <f aca="false">IF(I9="","",IF(I9&gt;$I$5,"🔴 Over Limit",IF(I9&gt;$I$5*0.9,"🟡 Warning","✅ OK")))</f>
        <v>✅ OK</v>
      </c>
      <c r="L9" s="25" t="s">
        <v>95</v>
      </c>
    </row>
    <row r="10" customFormat="false" ht="18" hidden="false" customHeight="true" outlineLevel="0" collapsed="false">
      <c r="B10" s="48"/>
      <c r="C10" s="48"/>
      <c r="D10" s="46"/>
      <c r="E10" s="46"/>
      <c r="F10" s="48"/>
      <c r="G10" s="48"/>
      <c r="H10" s="47"/>
      <c r="I10" s="47"/>
      <c r="J10" s="16" t="str">
        <f aca="false">IF(H10="","",IF(H10&gt;$H$5,"🔴 Over Limit",IF(H10&gt;$H$5*0.9,"🟡 Warning","✅ OK")))</f>
        <v/>
      </c>
      <c r="K10" s="16" t="str">
        <f aca="false">IF(I10="","",IF(I10&gt;$I$5,"🔴 Over Limit",IF(I10&gt;$I$5*0.9,"🟡 Warning","✅ OK")))</f>
        <v/>
      </c>
      <c r="L10" s="48"/>
    </row>
    <row r="11" customFormat="false" ht="18" hidden="false" customHeight="true" outlineLevel="0" collapsed="false">
      <c r="B11" s="49"/>
      <c r="C11" s="49"/>
      <c r="D11" s="46"/>
      <c r="E11" s="46"/>
      <c r="F11" s="49"/>
      <c r="G11" s="49"/>
      <c r="H11" s="47"/>
      <c r="I11" s="47"/>
      <c r="J11" s="10" t="str">
        <f aca="false">IF(H11="","",IF(H11&gt;$H$5,"🔴 Over Limit",IF(H11&gt;$H$5*0.9,"🟡 Warning","✅ OK")))</f>
        <v/>
      </c>
      <c r="K11" s="10" t="str">
        <f aca="false">IF(I11="","",IF(I11&gt;$I$5,"🔴 Over Limit",IF(I11&gt;$I$5*0.9,"🟡 Warning","✅ OK")))</f>
        <v/>
      </c>
      <c r="L11" s="49"/>
    </row>
    <row r="12" customFormat="false" ht="18" hidden="false" customHeight="true" outlineLevel="0" collapsed="false">
      <c r="B12" s="48"/>
      <c r="C12" s="48"/>
      <c r="D12" s="46"/>
      <c r="E12" s="46"/>
      <c r="F12" s="48"/>
      <c r="G12" s="48"/>
      <c r="H12" s="47"/>
      <c r="I12" s="47"/>
      <c r="J12" s="16" t="str">
        <f aca="false">IF(H12="","",IF(H12&gt;$H$5,"🔴 Over Limit",IF(H12&gt;$H$5*0.9,"🟡 Warning","✅ OK")))</f>
        <v/>
      </c>
      <c r="K12" s="16" t="str">
        <f aca="false">IF(I12="","",IF(I12&gt;$I$5,"🔴 Over Limit",IF(I12&gt;$I$5*0.9,"🟡 Warning","✅ OK")))</f>
        <v/>
      </c>
      <c r="L12" s="48"/>
    </row>
    <row r="13" customFormat="false" ht="18" hidden="false" customHeight="true" outlineLevel="0" collapsed="false">
      <c r="B13" s="49"/>
      <c r="C13" s="49"/>
      <c r="D13" s="46"/>
      <c r="E13" s="46"/>
      <c r="F13" s="49"/>
      <c r="G13" s="49"/>
      <c r="H13" s="47"/>
      <c r="I13" s="47"/>
      <c r="J13" s="10" t="str">
        <f aca="false">IF(H13="","",IF(H13&gt;$H$5,"🔴 Over Limit",IF(H13&gt;$H$5*0.9,"🟡 Warning","✅ OK")))</f>
        <v/>
      </c>
      <c r="K13" s="10" t="str">
        <f aca="false">IF(I13="","",IF(I13&gt;$I$5,"🔴 Over Limit",IF(I13&gt;$I$5*0.9,"🟡 Warning","✅ OK")))</f>
        <v/>
      </c>
      <c r="L13" s="49"/>
    </row>
    <row r="14" customFormat="false" ht="18" hidden="false" customHeight="true" outlineLevel="0" collapsed="false">
      <c r="B14" s="48"/>
      <c r="C14" s="48"/>
      <c r="D14" s="46"/>
      <c r="E14" s="46"/>
      <c r="F14" s="48"/>
      <c r="G14" s="48"/>
      <c r="H14" s="47"/>
      <c r="I14" s="47"/>
      <c r="J14" s="16" t="str">
        <f aca="false">IF(H14="","",IF(H14&gt;$H$5,"🔴 Over Limit",IF(H14&gt;$H$5*0.9,"🟡 Warning","✅ OK")))</f>
        <v/>
      </c>
      <c r="K14" s="16" t="str">
        <f aca="false">IF(I14="","",IF(I14&gt;$I$5,"🔴 Over Limit",IF(I14&gt;$I$5*0.9,"🟡 Warning","✅ OK")))</f>
        <v/>
      </c>
      <c r="L14" s="48"/>
    </row>
    <row r="15" customFormat="false" ht="18" hidden="false" customHeight="true" outlineLevel="0" collapsed="false">
      <c r="B15" s="49"/>
      <c r="C15" s="49"/>
      <c r="D15" s="46"/>
      <c r="E15" s="46"/>
      <c r="F15" s="49"/>
      <c r="G15" s="49"/>
      <c r="H15" s="47"/>
      <c r="I15" s="47"/>
      <c r="J15" s="10" t="str">
        <f aca="false">IF(H15="","",IF(H15&gt;$H$5,"🔴 Over Limit",IF(H15&gt;$H$5*0.9,"🟡 Warning","✅ OK")))</f>
        <v/>
      </c>
      <c r="K15" s="10" t="str">
        <f aca="false">IF(I15="","",IF(I15&gt;$I$5,"🔴 Over Limit",IF(I15&gt;$I$5*0.9,"🟡 Warning","✅ OK")))</f>
        <v/>
      </c>
      <c r="L15" s="49"/>
    </row>
    <row r="16" customFormat="false" ht="18" hidden="false" customHeight="true" outlineLevel="0" collapsed="false">
      <c r="B16" s="48"/>
      <c r="C16" s="48"/>
      <c r="D16" s="46"/>
      <c r="E16" s="46"/>
      <c r="F16" s="48"/>
      <c r="G16" s="48"/>
      <c r="H16" s="47"/>
      <c r="I16" s="47"/>
      <c r="J16" s="16" t="str">
        <f aca="false">IF(H16="","",IF(H16&gt;$H$5,"🔴 Over Limit",IF(H16&gt;$H$5*0.9,"🟡 Warning","✅ OK")))</f>
        <v/>
      </c>
      <c r="K16" s="16" t="str">
        <f aca="false">IF(I16="","",IF(I16&gt;$I$5,"🔴 Over Limit",IF(I16&gt;$I$5*0.9,"🟡 Warning","✅ OK")))</f>
        <v/>
      </c>
      <c r="L16" s="48"/>
    </row>
    <row r="17" customFormat="false" ht="18" hidden="false" customHeight="true" outlineLevel="0" collapsed="false">
      <c r="B17" s="49"/>
      <c r="C17" s="49"/>
      <c r="D17" s="46"/>
      <c r="E17" s="46"/>
      <c r="F17" s="49"/>
      <c r="G17" s="49"/>
      <c r="H17" s="47"/>
      <c r="I17" s="47"/>
      <c r="J17" s="10" t="str">
        <f aca="false">IF(H17="","",IF(H17&gt;$H$5,"🔴 Over Limit",IF(H17&gt;$H$5*0.9,"🟡 Warning","✅ OK")))</f>
        <v/>
      </c>
      <c r="K17" s="10" t="str">
        <f aca="false">IF(I17="","",IF(I17&gt;$I$5,"🔴 Over Limit",IF(I17&gt;$I$5*0.9,"🟡 Warning","✅ OK")))</f>
        <v/>
      </c>
      <c r="L17" s="49"/>
    </row>
    <row r="18" customFormat="false" ht="18" hidden="false" customHeight="true" outlineLevel="0" collapsed="false">
      <c r="B18" s="48"/>
      <c r="C18" s="48"/>
      <c r="D18" s="46"/>
      <c r="E18" s="46"/>
      <c r="F18" s="48"/>
      <c r="G18" s="48"/>
      <c r="H18" s="47"/>
      <c r="I18" s="47"/>
      <c r="J18" s="16" t="str">
        <f aca="false">IF(H18="","",IF(H18&gt;$H$5,"🔴 Over Limit",IF(H18&gt;$H$5*0.9,"🟡 Warning","✅ OK")))</f>
        <v/>
      </c>
      <c r="K18" s="16" t="str">
        <f aca="false">IF(I18="","",IF(I18&gt;$I$5,"🔴 Over Limit",IF(I18&gt;$I$5*0.9,"🟡 Warning","✅ OK")))</f>
        <v/>
      </c>
      <c r="L18" s="48"/>
    </row>
    <row r="19" customFormat="false" ht="18" hidden="false" customHeight="true" outlineLevel="0" collapsed="false">
      <c r="B19" s="49"/>
      <c r="C19" s="49"/>
      <c r="D19" s="46"/>
      <c r="E19" s="46"/>
      <c r="F19" s="49"/>
      <c r="G19" s="49"/>
      <c r="H19" s="47"/>
      <c r="I19" s="47"/>
      <c r="J19" s="10" t="str">
        <f aca="false">IF(H19="","",IF(H19&gt;$H$5,"🔴 Over Limit",IF(H19&gt;$H$5*0.9,"🟡 Warning","✅ OK")))</f>
        <v/>
      </c>
      <c r="K19" s="10" t="str">
        <f aca="false">IF(I19="","",IF(I19&gt;$I$5,"🔴 Over Limit",IF(I19&gt;$I$5*0.9,"🟡 Warning","✅ OK")))</f>
        <v/>
      </c>
      <c r="L19" s="49"/>
    </row>
    <row r="20" customFormat="false" ht="18" hidden="false" customHeight="true" outlineLevel="0" collapsed="false">
      <c r="B20" s="48"/>
      <c r="C20" s="48"/>
      <c r="D20" s="46"/>
      <c r="E20" s="46"/>
      <c r="F20" s="48"/>
      <c r="G20" s="48"/>
      <c r="H20" s="47"/>
      <c r="I20" s="47"/>
      <c r="J20" s="16" t="str">
        <f aca="false">IF(H20="","",IF(H20&gt;$H$5,"🔴 Over Limit",IF(H20&gt;$H$5*0.9,"🟡 Warning","✅ OK")))</f>
        <v/>
      </c>
      <c r="K20" s="16" t="str">
        <f aca="false">IF(I20="","",IF(I20&gt;$I$5,"🔴 Over Limit",IF(I20&gt;$I$5*0.9,"🟡 Warning","✅ OK")))</f>
        <v/>
      </c>
      <c r="L20" s="48"/>
    </row>
    <row r="21" customFormat="false" ht="18" hidden="false" customHeight="true" outlineLevel="0" collapsed="false">
      <c r="B21" s="49"/>
      <c r="C21" s="49"/>
      <c r="D21" s="46"/>
      <c r="E21" s="46"/>
      <c r="F21" s="49"/>
      <c r="G21" s="49"/>
      <c r="H21" s="47"/>
      <c r="I21" s="47"/>
      <c r="J21" s="10" t="str">
        <f aca="false">IF(H21="","",IF(H21&gt;$H$5,"🔴 Over Limit",IF(H21&gt;$H$5*0.9,"🟡 Warning","✅ OK")))</f>
        <v/>
      </c>
      <c r="K21" s="10" t="str">
        <f aca="false">IF(I21="","",IF(I21&gt;$I$5,"🔴 Over Limit",IF(I21&gt;$I$5*0.9,"🟡 Warning","✅ OK")))</f>
        <v/>
      </c>
      <c r="L21" s="49"/>
    </row>
    <row r="22" customFormat="false" ht="18" hidden="false" customHeight="true" outlineLevel="0" collapsed="false">
      <c r="B22" s="48"/>
      <c r="C22" s="48"/>
      <c r="D22" s="46"/>
      <c r="E22" s="46"/>
      <c r="F22" s="48"/>
      <c r="G22" s="48"/>
      <c r="H22" s="47"/>
      <c r="I22" s="47"/>
      <c r="J22" s="16" t="str">
        <f aca="false">IF(H22="","",IF(H22&gt;$H$5,"🔴 Over Limit",IF(H22&gt;$H$5*0.9,"🟡 Warning","✅ OK")))</f>
        <v/>
      </c>
      <c r="K22" s="16" t="str">
        <f aca="false">IF(I22="","",IF(I22&gt;$I$5,"🔴 Over Limit",IF(I22&gt;$I$5*0.9,"🟡 Warning","✅ OK")))</f>
        <v/>
      </c>
      <c r="L22" s="48"/>
    </row>
    <row r="23" customFormat="false" ht="18" hidden="false" customHeight="true" outlineLevel="0" collapsed="false">
      <c r="B23" s="49"/>
      <c r="C23" s="49"/>
      <c r="D23" s="46"/>
      <c r="E23" s="46"/>
      <c r="F23" s="49"/>
      <c r="G23" s="49"/>
      <c r="H23" s="47"/>
      <c r="I23" s="47"/>
      <c r="J23" s="10" t="str">
        <f aca="false">IF(H23="","",IF(H23&gt;$H$5,"🔴 Over Limit",IF(H23&gt;$H$5*0.9,"🟡 Warning","✅ OK")))</f>
        <v/>
      </c>
      <c r="K23" s="10" t="str">
        <f aca="false">IF(I23="","",IF(I23&gt;$I$5,"🔴 Over Limit",IF(I23&gt;$I$5*0.9,"🟡 Warning","✅ OK")))</f>
        <v/>
      </c>
      <c r="L23" s="49"/>
    </row>
    <row r="24" customFormat="false" ht="18" hidden="false" customHeight="true" outlineLevel="0" collapsed="false">
      <c r="B24" s="48"/>
      <c r="C24" s="48"/>
      <c r="D24" s="46"/>
      <c r="E24" s="46"/>
      <c r="F24" s="48"/>
      <c r="G24" s="48"/>
      <c r="H24" s="47"/>
      <c r="I24" s="47"/>
      <c r="J24" s="16" t="str">
        <f aca="false">IF(H24="","",IF(H24&gt;$H$5,"🔴 Over Limit",IF(H24&gt;$H$5*0.9,"🟡 Warning","✅ OK")))</f>
        <v/>
      </c>
      <c r="K24" s="16" t="str">
        <f aca="false">IF(I24="","",IF(I24&gt;$I$5,"🔴 Over Limit",IF(I24&gt;$I$5*0.9,"🟡 Warning","✅ OK")))</f>
        <v/>
      </c>
      <c r="L24" s="48"/>
    </row>
    <row r="25" customFormat="false" ht="18" hidden="false" customHeight="true" outlineLevel="0" collapsed="false">
      <c r="B25" s="49"/>
      <c r="C25" s="49"/>
      <c r="D25" s="46"/>
      <c r="E25" s="46"/>
      <c r="F25" s="49"/>
      <c r="G25" s="49"/>
      <c r="H25" s="47"/>
      <c r="I25" s="47"/>
      <c r="J25" s="10" t="str">
        <f aca="false">IF(H25="","",IF(H25&gt;$H$5,"🔴 Over Limit",IF(H25&gt;$H$5*0.9,"🟡 Warning","✅ OK")))</f>
        <v/>
      </c>
      <c r="K25" s="10" t="str">
        <f aca="false">IF(I25="","",IF(I25&gt;$I$5,"🔴 Over Limit",IF(I25&gt;$I$5*0.9,"🟡 Warning","✅ OK")))</f>
        <v/>
      </c>
      <c r="L25" s="49"/>
    </row>
    <row r="26" customFormat="false" ht="18" hidden="false" customHeight="true" outlineLevel="0" collapsed="false">
      <c r="B26" s="48"/>
      <c r="C26" s="48"/>
      <c r="D26" s="46"/>
      <c r="E26" s="46"/>
      <c r="F26" s="48"/>
      <c r="G26" s="48"/>
      <c r="H26" s="47"/>
      <c r="I26" s="47"/>
      <c r="J26" s="16" t="str">
        <f aca="false">IF(H26="","",IF(H26&gt;$H$5,"🔴 Over Limit",IF(H26&gt;$H$5*0.9,"🟡 Warning","✅ OK")))</f>
        <v/>
      </c>
      <c r="K26" s="16" t="str">
        <f aca="false">IF(I26="","",IF(I26&gt;$I$5,"🔴 Over Limit",IF(I26&gt;$I$5*0.9,"🟡 Warning","✅ OK")))</f>
        <v/>
      </c>
      <c r="L26" s="48"/>
    </row>
    <row r="27" customFormat="false" ht="18" hidden="false" customHeight="true" outlineLevel="0" collapsed="false">
      <c r="B27" s="49"/>
      <c r="C27" s="49"/>
      <c r="D27" s="46"/>
      <c r="E27" s="46"/>
      <c r="F27" s="49"/>
      <c r="G27" s="49"/>
      <c r="H27" s="47"/>
      <c r="I27" s="47"/>
      <c r="J27" s="10" t="str">
        <f aca="false">IF(H27="","",IF(H27&gt;$H$5,"🔴 Over Limit",IF(H27&gt;$H$5*0.9,"🟡 Warning","✅ OK")))</f>
        <v/>
      </c>
      <c r="K27" s="10" t="str">
        <f aca="false">IF(I27="","",IF(I27&gt;$I$5,"🔴 Over Limit",IF(I27&gt;$I$5*0.9,"🟡 Warning","✅ OK")))</f>
        <v/>
      </c>
      <c r="L27" s="49"/>
    </row>
    <row r="28" customFormat="false" ht="18" hidden="false" customHeight="true" outlineLevel="0" collapsed="false">
      <c r="B28" s="48"/>
      <c r="C28" s="48"/>
      <c r="D28" s="46"/>
      <c r="E28" s="46"/>
      <c r="F28" s="48"/>
      <c r="G28" s="48"/>
      <c r="H28" s="47"/>
      <c r="I28" s="47"/>
      <c r="J28" s="16" t="str">
        <f aca="false">IF(H28="","",IF(H28&gt;$H$5,"🔴 Over Limit",IF(H28&gt;$H$5*0.9,"🟡 Warning","✅ OK")))</f>
        <v/>
      </c>
      <c r="K28" s="16" t="str">
        <f aca="false">IF(I28="","",IF(I28&gt;$I$5,"🔴 Over Limit",IF(I28&gt;$I$5*0.9,"🟡 Warning","✅ OK")))</f>
        <v/>
      </c>
      <c r="L28" s="48"/>
    </row>
    <row r="29" customFormat="false" ht="18" hidden="false" customHeight="true" outlineLevel="0" collapsed="false">
      <c r="B29" s="49"/>
      <c r="C29" s="49"/>
      <c r="D29" s="46"/>
      <c r="E29" s="46"/>
      <c r="F29" s="49"/>
      <c r="G29" s="49"/>
      <c r="H29" s="47"/>
      <c r="I29" s="47"/>
      <c r="J29" s="10" t="str">
        <f aca="false">IF(H29="","",IF(H29&gt;$H$5,"🔴 Over Limit",IF(H29&gt;$H$5*0.9,"🟡 Warning","✅ OK")))</f>
        <v/>
      </c>
      <c r="K29" s="10" t="str">
        <f aca="false">IF(I29="","",IF(I29&gt;$I$5,"🔴 Over Limit",IF(I29&gt;$I$5*0.9,"🟡 Warning","✅ OK")))</f>
        <v/>
      </c>
      <c r="L29" s="49"/>
    </row>
    <row r="30" customFormat="false" ht="18" hidden="false" customHeight="true" outlineLevel="0" collapsed="false">
      <c r="B30" s="48"/>
      <c r="C30" s="48"/>
      <c r="D30" s="46"/>
      <c r="E30" s="46"/>
      <c r="F30" s="48"/>
      <c r="G30" s="48"/>
      <c r="H30" s="47"/>
      <c r="I30" s="47"/>
      <c r="J30" s="16" t="str">
        <f aca="false">IF(H30="","",IF(H30&gt;$H$5,"🔴 Over Limit",IF(H30&gt;$H$5*0.9,"🟡 Warning","✅ OK")))</f>
        <v/>
      </c>
      <c r="K30" s="16" t="str">
        <f aca="false">IF(I30="","",IF(I30&gt;$I$5,"🔴 Over Limit",IF(I30&gt;$I$5*0.9,"🟡 Warning","✅ OK")))</f>
        <v/>
      </c>
      <c r="L30" s="48"/>
    </row>
    <row r="31" customFormat="false" ht="18" hidden="false" customHeight="true" outlineLevel="0" collapsed="false">
      <c r="B31" s="49"/>
      <c r="C31" s="49"/>
      <c r="D31" s="46"/>
      <c r="E31" s="46"/>
      <c r="F31" s="49"/>
      <c r="G31" s="49"/>
      <c r="H31" s="47"/>
      <c r="I31" s="47"/>
      <c r="J31" s="10" t="str">
        <f aca="false">IF(H31="","",IF(H31&gt;$H$5,"🔴 Over Limit",IF(H31&gt;$H$5*0.9,"🟡 Warning","✅ OK")))</f>
        <v/>
      </c>
      <c r="K31" s="10" t="str">
        <f aca="false">IF(I31="","",IF(I31&gt;$I$5,"🔴 Over Limit",IF(I31&gt;$I$5*0.9,"🟡 Warning","✅ OK")))</f>
        <v/>
      </c>
      <c r="L31" s="49"/>
    </row>
    <row r="32" customFormat="false" ht="18" hidden="false" customHeight="true" outlineLevel="0" collapsed="false">
      <c r="B32" s="48"/>
      <c r="C32" s="48"/>
      <c r="D32" s="46"/>
      <c r="E32" s="46"/>
      <c r="F32" s="48"/>
      <c r="G32" s="48"/>
      <c r="H32" s="47"/>
      <c r="I32" s="47"/>
      <c r="J32" s="16" t="str">
        <f aca="false">IF(H32="","",IF(H32&gt;$H$5,"🔴 Over Limit",IF(H32&gt;$H$5*0.9,"🟡 Warning","✅ OK")))</f>
        <v/>
      </c>
      <c r="K32" s="16" t="str">
        <f aca="false">IF(I32="","",IF(I32&gt;$I$5,"🔴 Over Limit",IF(I32&gt;$I$5*0.9,"🟡 Warning","✅ OK")))</f>
        <v/>
      </c>
      <c r="L32" s="48"/>
    </row>
    <row r="33" customFormat="false" ht="18" hidden="false" customHeight="true" outlineLevel="0" collapsed="false">
      <c r="B33" s="49"/>
      <c r="C33" s="49"/>
      <c r="D33" s="46"/>
      <c r="E33" s="46"/>
      <c r="F33" s="49"/>
      <c r="G33" s="49"/>
      <c r="H33" s="47"/>
      <c r="I33" s="47"/>
      <c r="J33" s="10" t="str">
        <f aca="false">IF(H33="","",IF(H33&gt;$H$5,"🔴 Over Limit",IF(H33&gt;$H$5*0.9,"🟡 Warning","✅ OK")))</f>
        <v/>
      </c>
      <c r="K33" s="10" t="str">
        <f aca="false">IF(I33="","",IF(I33&gt;$I$5,"🔴 Over Limit",IF(I33&gt;$I$5*0.9,"🟡 Warning","✅ OK")))</f>
        <v/>
      </c>
      <c r="L33" s="49"/>
    </row>
    <row r="34" customFormat="false" ht="18" hidden="false" customHeight="true" outlineLevel="0" collapsed="false">
      <c r="B34" s="48"/>
      <c r="C34" s="48"/>
      <c r="D34" s="46"/>
      <c r="E34" s="46"/>
      <c r="F34" s="48"/>
      <c r="G34" s="48"/>
      <c r="H34" s="47"/>
      <c r="I34" s="47"/>
      <c r="J34" s="16" t="str">
        <f aca="false">IF(H34="","",IF(H34&gt;$H$5,"🔴 Over Limit",IF(H34&gt;$H$5*0.9,"🟡 Warning","✅ OK")))</f>
        <v/>
      </c>
      <c r="K34" s="16" t="str">
        <f aca="false">IF(I34="","",IF(I34&gt;$I$5,"🔴 Over Limit",IF(I34&gt;$I$5*0.9,"🟡 Warning","✅ OK")))</f>
        <v/>
      </c>
      <c r="L34" s="48"/>
    </row>
    <row r="35" customFormat="false" ht="18" hidden="false" customHeight="true" outlineLevel="0" collapsed="false">
      <c r="B35" s="49"/>
      <c r="C35" s="49"/>
      <c r="D35" s="46"/>
      <c r="E35" s="46"/>
      <c r="F35" s="49"/>
      <c r="G35" s="49"/>
      <c r="H35" s="47"/>
      <c r="I35" s="47"/>
      <c r="J35" s="10" t="str">
        <f aca="false">IF(H35="","",IF(H35&gt;$H$5,"🔴 Over Limit",IF(H35&gt;$H$5*0.9,"🟡 Warning","✅ OK")))</f>
        <v/>
      </c>
      <c r="K35" s="10" t="str">
        <f aca="false">IF(I35="","",IF(I35&gt;$I$5,"🔴 Over Limit",IF(I35&gt;$I$5*0.9,"🟡 Warning","✅ OK")))</f>
        <v/>
      </c>
      <c r="L35" s="49"/>
    </row>
    <row r="36" customFormat="false" ht="18" hidden="false" customHeight="true" outlineLevel="0" collapsed="false">
      <c r="B36" s="48"/>
      <c r="C36" s="48"/>
      <c r="D36" s="46"/>
      <c r="E36" s="46"/>
      <c r="F36" s="48"/>
      <c r="G36" s="48"/>
      <c r="H36" s="47"/>
      <c r="I36" s="47"/>
      <c r="J36" s="16" t="str">
        <f aca="false">IF(H36="","",IF(H36&gt;$H$5,"🔴 Over Limit",IF(H36&gt;$H$5*0.9,"🟡 Warning","✅ OK")))</f>
        <v/>
      </c>
      <c r="K36" s="16" t="str">
        <f aca="false">IF(I36="","",IF(I36&gt;$I$5,"🔴 Over Limit",IF(I36&gt;$I$5*0.9,"🟡 Warning","✅ OK")))</f>
        <v/>
      </c>
      <c r="L36" s="48"/>
    </row>
    <row r="37" customFormat="false" ht="18" hidden="false" customHeight="true" outlineLevel="0" collapsed="false">
      <c r="B37" s="49"/>
      <c r="C37" s="49"/>
      <c r="D37" s="46"/>
      <c r="E37" s="46"/>
      <c r="F37" s="49"/>
      <c r="G37" s="49"/>
      <c r="H37" s="47"/>
      <c r="I37" s="47"/>
      <c r="J37" s="10" t="str">
        <f aca="false">IF(H37="","",IF(H37&gt;$H$5,"🔴 Over Limit",IF(H37&gt;$H$5*0.9,"🟡 Warning","✅ OK")))</f>
        <v/>
      </c>
      <c r="K37" s="10" t="str">
        <f aca="false">IF(I37="","",IF(I37&gt;$I$5,"🔴 Over Limit",IF(I37&gt;$I$5*0.9,"🟡 Warning","✅ OK")))</f>
        <v/>
      </c>
      <c r="L37" s="49"/>
    </row>
    <row r="38" customFormat="false" ht="18" hidden="false" customHeight="true" outlineLevel="0" collapsed="false">
      <c r="B38" s="48"/>
      <c r="C38" s="48"/>
      <c r="D38" s="46"/>
      <c r="E38" s="46"/>
      <c r="F38" s="48"/>
      <c r="G38" s="48"/>
      <c r="H38" s="47"/>
      <c r="I38" s="47"/>
      <c r="J38" s="16" t="str">
        <f aca="false">IF(H38="","",IF(H38&gt;$H$5,"🔴 Over Limit",IF(H38&gt;$H$5*0.9,"🟡 Warning","✅ OK")))</f>
        <v/>
      </c>
      <c r="K38" s="16" t="str">
        <f aca="false">IF(I38="","",IF(I38&gt;$I$5,"🔴 Over Limit",IF(I38&gt;$I$5*0.9,"🟡 Warning","✅ OK")))</f>
        <v/>
      </c>
      <c r="L38" s="48"/>
    </row>
    <row r="39" customFormat="false" ht="18" hidden="false" customHeight="true" outlineLevel="0" collapsed="false">
      <c r="B39" s="49"/>
      <c r="C39" s="49"/>
      <c r="D39" s="46"/>
      <c r="E39" s="46"/>
      <c r="F39" s="49"/>
      <c r="G39" s="49"/>
      <c r="H39" s="47"/>
      <c r="I39" s="47"/>
      <c r="J39" s="10" t="str">
        <f aca="false">IF(H39="","",IF(H39&gt;$H$5,"🔴 Over Limit",IF(H39&gt;$H$5*0.9,"🟡 Warning","✅ OK")))</f>
        <v/>
      </c>
      <c r="K39" s="10" t="str">
        <f aca="false">IF(I39="","",IF(I39&gt;$I$5,"🔴 Over Limit",IF(I39&gt;$I$5*0.9,"🟡 Warning","✅ OK")))</f>
        <v/>
      </c>
      <c r="L39" s="49"/>
    </row>
    <row r="40" customFormat="false" ht="18" hidden="false" customHeight="true" outlineLevel="0" collapsed="false">
      <c r="B40" s="48"/>
      <c r="C40" s="48"/>
      <c r="D40" s="46"/>
      <c r="E40" s="46"/>
      <c r="F40" s="48"/>
      <c r="G40" s="48"/>
      <c r="H40" s="47"/>
      <c r="I40" s="47"/>
      <c r="J40" s="16" t="str">
        <f aca="false">IF(H40="","",IF(H40&gt;$H$5,"🔴 Over Limit",IF(H40&gt;$H$5*0.9,"🟡 Warning","✅ OK")))</f>
        <v/>
      </c>
      <c r="K40" s="16" t="str">
        <f aca="false">IF(I40="","",IF(I40&gt;$I$5,"🔴 Over Limit",IF(I40&gt;$I$5*0.9,"🟡 Warning","✅ OK")))</f>
        <v/>
      </c>
      <c r="L40" s="48"/>
    </row>
    <row r="41" customFormat="false" ht="18" hidden="false" customHeight="true" outlineLevel="0" collapsed="false">
      <c r="B41" s="49"/>
      <c r="C41" s="49"/>
      <c r="D41" s="46"/>
      <c r="E41" s="46"/>
      <c r="F41" s="49"/>
      <c r="G41" s="49"/>
      <c r="H41" s="47"/>
      <c r="I41" s="47"/>
      <c r="J41" s="10" t="str">
        <f aca="false">IF(H41="","",IF(H41&gt;$H$5,"🔴 Over Limit",IF(H41&gt;$H$5*0.9,"🟡 Warning","✅ OK")))</f>
        <v/>
      </c>
      <c r="K41" s="10" t="str">
        <f aca="false">IF(I41="","",IF(I41&gt;$I$5,"🔴 Over Limit",IF(I41&gt;$I$5*0.9,"🟡 Warning","✅ OK")))</f>
        <v/>
      </c>
      <c r="L41" s="49"/>
    </row>
    <row r="42" customFormat="false" ht="18" hidden="false" customHeight="true" outlineLevel="0" collapsed="false">
      <c r="B42" s="48"/>
      <c r="C42" s="48"/>
      <c r="D42" s="46"/>
      <c r="E42" s="46"/>
      <c r="F42" s="48"/>
      <c r="G42" s="48"/>
      <c r="H42" s="47"/>
      <c r="I42" s="47"/>
      <c r="J42" s="16" t="str">
        <f aca="false">IF(H42="","",IF(H42&gt;$H$5,"🔴 Over Limit",IF(H42&gt;$H$5*0.9,"🟡 Warning","✅ OK")))</f>
        <v/>
      </c>
      <c r="K42" s="16" t="str">
        <f aca="false">IF(I42="","",IF(I42&gt;$I$5,"🔴 Over Limit",IF(I42&gt;$I$5*0.9,"🟡 Warning","✅ OK")))</f>
        <v/>
      </c>
      <c r="L42" s="48"/>
    </row>
    <row r="43" customFormat="false" ht="18" hidden="false" customHeight="true" outlineLevel="0" collapsed="false">
      <c r="B43" s="49"/>
      <c r="C43" s="49"/>
      <c r="D43" s="46"/>
      <c r="E43" s="46"/>
      <c r="F43" s="49"/>
      <c r="G43" s="49"/>
      <c r="H43" s="47"/>
      <c r="I43" s="47"/>
      <c r="J43" s="10" t="str">
        <f aca="false">IF(H43="","",IF(H43&gt;$H$5,"🔴 Over Limit",IF(H43&gt;$H$5*0.9,"🟡 Warning","✅ OK")))</f>
        <v/>
      </c>
      <c r="K43" s="10" t="str">
        <f aca="false">IF(I43="","",IF(I43&gt;$I$5,"🔴 Over Limit",IF(I43&gt;$I$5*0.9,"🟡 Warning","✅ OK")))</f>
        <v/>
      </c>
      <c r="L43" s="49"/>
    </row>
    <row r="44" customFormat="false" ht="18" hidden="false" customHeight="true" outlineLevel="0" collapsed="false">
      <c r="B44" s="48"/>
      <c r="C44" s="48"/>
      <c r="D44" s="46"/>
      <c r="E44" s="46"/>
      <c r="F44" s="48"/>
      <c r="G44" s="48"/>
      <c r="H44" s="47"/>
      <c r="I44" s="47"/>
      <c r="J44" s="16" t="str">
        <f aca="false">IF(H44="","",IF(H44&gt;$H$5,"🔴 Over Limit",IF(H44&gt;$H$5*0.9,"🟡 Warning","✅ OK")))</f>
        <v/>
      </c>
      <c r="K44" s="16" t="str">
        <f aca="false">IF(I44="","",IF(I44&gt;$I$5,"🔴 Over Limit",IF(I44&gt;$I$5*0.9,"🟡 Warning","✅ OK")))</f>
        <v/>
      </c>
      <c r="L44" s="48"/>
    </row>
    <row r="45" customFormat="false" ht="18" hidden="false" customHeight="true" outlineLevel="0" collapsed="false">
      <c r="B45" s="49"/>
      <c r="C45" s="49"/>
      <c r="D45" s="46"/>
      <c r="E45" s="46"/>
      <c r="F45" s="49"/>
      <c r="G45" s="49"/>
      <c r="H45" s="47"/>
      <c r="I45" s="47"/>
      <c r="J45" s="10" t="str">
        <f aca="false">IF(H45="","",IF(H45&gt;$H$5,"🔴 Over Limit",IF(H45&gt;$H$5*0.9,"🟡 Warning","✅ OK")))</f>
        <v/>
      </c>
      <c r="K45" s="10" t="str">
        <f aca="false">IF(I45="","",IF(I45&gt;$I$5,"🔴 Over Limit",IF(I45&gt;$I$5*0.9,"🟡 Warning","✅ OK")))</f>
        <v/>
      </c>
      <c r="L45" s="49"/>
    </row>
    <row r="46" customFormat="false" ht="18" hidden="false" customHeight="true" outlineLevel="0" collapsed="false">
      <c r="B46" s="48"/>
      <c r="C46" s="48"/>
      <c r="D46" s="46"/>
      <c r="E46" s="46"/>
      <c r="F46" s="48"/>
      <c r="G46" s="48"/>
      <c r="H46" s="47"/>
      <c r="I46" s="47"/>
      <c r="J46" s="16" t="str">
        <f aca="false">IF(H46="","",IF(H46&gt;$H$5,"🔴 Over Limit",IF(H46&gt;$H$5*0.9,"🟡 Warning","✅ OK")))</f>
        <v/>
      </c>
      <c r="K46" s="16" t="str">
        <f aca="false">IF(I46="","",IF(I46&gt;$I$5,"🔴 Over Limit",IF(I46&gt;$I$5*0.9,"🟡 Warning","✅ OK")))</f>
        <v/>
      </c>
      <c r="L46" s="48"/>
    </row>
    <row r="47" customFormat="false" ht="18" hidden="false" customHeight="true" outlineLevel="0" collapsed="false">
      <c r="B47" s="49"/>
      <c r="C47" s="49"/>
      <c r="D47" s="46"/>
      <c r="E47" s="46"/>
      <c r="F47" s="49"/>
      <c r="G47" s="49"/>
      <c r="H47" s="47"/>
      <c r="I47" s="47"/>
      <c r="J47" s="10" t="str">
        <f aca="false">IF(H47="","",IF(H47&gt;$H$5,"🔴 Over Limit",IF(H47&gt;$H$5*0.9,"🟡 Warning","✅ OK")))</f>
        <v/>
      </c>
      <c r="K47" s="10" t="str">
        <f aca="false">IF(I47="","",IF(I47&gt;$I$5,"🔴 Over Limit",IF(I47&gt;$I$5*0.9,"🟡 Warning","✅ OK")))</f>
        <v/>
      </c>
      <c r="L47" s="49"/>
    </row>
    <row r="48" customFormat="false" ht="18" hidden="false" customHeight="true" outlineLevel="0" collapsed="false">
      <c r="B48" s="48"/>
      <c r="C48" s="48"/>
      <c r="D48" s="46"/>
      <c r="E48" s="46"/>
      <c r="F48" s="48"/>
      <c r="G48" s="48"/>
      <c r="H48" s="47"/>
      <c r="I48" s="47"/>
      <c r="J48" s="16" t="str">
        <f aca="false">IF(H48="","",IF(H48&gt;$H$5,"🔴 Over Limit",IF(H48&gt;$H$5*0.9,"🟡 Warning","✅ OK")))</f>
        <v/>
      </c>
      <c r="K48" s="16" t="str">
        <f aca="false">IF(I48="","",IF(I48&gt;$I$5,"🔴 Over Limit",IF(I48&gt;$I$5*0.9,"🟡 Warning","✅ OK")))</f>
        <v/>
      </c>
      <c r="L48" s="48"/>
    </row>
    <row r="49" customFormat="false" ht="18" hidden="false" customHeight="true" outlineLevel="0" collapsed="false">
      <c r="B49" s="49"/>
      <c r="C49" s="49"/>
      <c r="D49" s="46"/>
      <c r="E49" s="46"/>
      <c r="F49" s="49"/>
      <c r="G49" s="49"/>
      <c r="H49" s="47"/>
      <c r="I49" s="47"/>
      <c r="J49" s="10" t="str">
        <f aca="false">IF(H49="","",IF(H49&gt;$H$5,"🔴 Over Limit",IF(H49&gt;$H$5*0.9,"🟡 Warning","✅ OK")))</f>
        <v/>
      </c>
      <c r="K49" s="10" t="str">
        <f aca="false">IF(I49="","",IF(I49&gt;$I$5,"🔴 Over Limit",IF(I49&gt;$I$5*0.9,"🟡 Warning","✅ OK")))</f>
        <v/>
      </c>
      <c r="L49" s="49"/>
    </row>
    <row r="50" customFormat="false" ht="18" hidden="false" customHeight="true" outlineLevel="0" collapsed="false">
      <c r="B50" s="48"/>
      <c r="C50" s="48"/>
      <c r="D50" s="46"/>
      <c r="E50" s="46"/>
      <c r="F50" s="48"/>
      <c r="G50" s="48"/>
      <c r="H50" s="47"/>
      <c r="I50" s="47"/>
      <c r="J50" s="16" t="str">
        <f aca="false">IF(H50="","",IF(H50&gt;$H$5,"🔴 Over Limit",IF(H50&gt;$H$5*0.9,"🟡 Warning","✅ OK")))</f>
        <v/>
      </c>
      <c r="K50" s="16" t="str">
        <f aca="false">IF(I50="","",IF(I50&gt;$I$5,"🔴 Over Limit",IF(I50&gt;$I$5*0.9,"🟡 Warning","✅ OK")))</f>
        <v/>
      </c>
      <c r="L50" s="48"/>
    </row>
    <row r="51" customFormat="false" ht="18" hidden="false" customHeight="true" outlineLevel="0" collapsed="false">
      <c r="B51" s="49"/>
      <c r="C51" s="49"/>
      <c r="D51" s="46"/>
      <c r="E51" s="46"/>
      <c r="F51" s="49"/>
      <c r="G51" s="49"/>
      <c r="H51" s="47"/>
      <c r="I51" s="47"/>
      <c r="J51" s="10" t="str">
        <f aca="false">IF(H51="","",IF(H51&gt;$H$5,"🔴 Over Limit",IF(H51&gt;$H$5*0.9,"🟡 Warning","✅ OK")))</f>
        <v/>
      </c>
      <c r="K51" s="10" t="str">
        <f aca="false">IF(I51="","",IF(I51&gt;$I$5,"🔴 Over Limit",IF(I51&gt;$I$5*0.9,"🟡 Warning","✅ OK")))</f>
        <v/>
      </c>
      <c r="L51" s="49"/>
    </row>
    <row r="52" customFormat="false" ht="18" hidden="false" customHeight="true" outlineLevel="0" collapsed="false">
      <c r="B52" s="48"/>
      <c r="C52" s="48"/>
      <c r="D52" s="46"/>
      <c r="E52" s="46"/>
      <c r="F52" s="48"/>
      <c r="G52" s="48"/>
      <c r="H52" s="47"/>
      <c r="I52" s="47"/>
      <c r="J52" s="16" t="str">
        <f aca="false">IF(H52="","",IF(H52&gt;$H$5,"🔴 Over Limit",IF(H52&gt;$H$5*0.9,"🟡 Warning","✅ OK")))</f>
        <v/>
      </c>
      <c r="K52" s="16" t="str">
        <f aca="false">IF(I52="","",IF(I52&gt;$I$5,"🔴 Over Limit",IF(I52&gt;$I$5*0.9,"🟡 Warning","✅ OK")))</f>
        <v/>
      </c>
      <c r="L52" s="48"/>
    </row>
    <row r="53" customFormat="false" ht="18" hidden="false" customHeight="true" outlineLevel="0" collapsed="false">
      <c r="B53" s="49"/>
      <c r="C53" s="49"/>
      <c r="D53" s="46"/>
      <c r="E53" s="46"/>
      <c r="F53" s="49"/>
      <c r="G53" s="49"/>
      <c r="H53" s="47"/>
      <c r="I53" s="47"/>
      <c r="J53" s="10" t="str">
        <f aca="false">IF(H53="","",IF(H53&gt;$H$5,"🔴 Over Limit",IF(H53&gt;$H$5*0.9,"🟡 Warning","✅ OK")))</f>
        <v/>
      </c>
      <c r="K53" s="10" t="str">
        <f aca="false">IF(I53="","",IF(I53&gt;$I$5,"🔴 Over Limit",IF(I53&gt;$I$5*0.9,"🟡 Warning","✅ OK")))</f>
        <v/>
      </c>
      <c r="L53" s="49"/>
    </row>
    <row r="54" customFormat="false" ht="18" hidden="false" customHeight="true" outlineLevel="0" collapsed="false">
      <c r="B54" s="48"/>
      <c r="C54" s="48"/>
      <c r="D54" s="46"/>
      <c r="E54" s="46"/>
      <c r="F54" s="48"/>
      <c r="G54" s="48"/>
      <c r="H54" s="47"/>
      <c r="I54" s="47"/>
      <c r="J54" s="16" t="str">
        <f aca="false">IF(H54="","",IF(H54&gt;$H$5,"🔴 Over Limit",IF(H54&gt;$H$5*0.9,"🟡 Warning","✅ OK")))</f>
        <v/>
      </c>
      <c r="K54" s="16" t="str">
        <f aca="false">IF(I54="","",IF(I54&gt;$I$5,"🔴 Over Limit",IF(I54&gt;$I$5*0.9,"🟡 Warning","✅ OK")))</f>
        <v/>
      </c>
      <c r="L54" s="48"/>
    </row>
    <row r="55" customFormat="false" ht="18" hidden="false" customHeight="true" outlineLevel="0" collapsed="false">
      <c r="B55" s="49"/>
      <c r="C55" s="49"/>
      <c r="D55" s="46"/>
      <c r="E55" s="46"/>
      <c r="F55" s="49"/>
      <c r="G55" s="49"/>
      <c r="H55" s="47"/>
      <c r="I55" s="47"/>
      <c r="J55" s="10" t="str">
        <f aca="false">IF(H55="","",IF(H55&gt;$H$5,"🔴 Over Limit",IF(H55&gt;$H$5*0.9,"🟡 Warning","✅ OK")))</f>
        <v/>
      </c>
      <c r="K55" s="10" t="str">
        <f aca="false">IF(I55="","",IF(I55&gt;$I$5,"🔴 Over Limit",IF(I55&gt;$I$5*0.9,"🟡 Warning","✅ OK")))</f>
        <v/>
      </c>
      <c r="L55" s="49"/>
    </row>
    <row r="56" customFormat="false" ht="18" hidden="false" customHeight="true" outlineLevel="0" collapsed="false">
      <c r="B56" s="48"/>
      <c r="C56" s="48"/>
      <c r="D56" s="46"/>
      <c r="E56" s="46"/>
      <c r="F56" s="48"/>
      <c r="G56" s="48"/>
      <c r="H56" s="47"/>
      <c r="I56" s="47"/>
      <c r="J56" s="16" t="str">
        <f aca="false">IF(H56="","",IF(H56&gt;$H$5,"🔴 Over Limit",IF(H56&gt;$H$5*0.9,"🟡 Warning","✅ OK")))</f>
        <v/>
      </c>
      <c r="K56" s="16" t="str">
        <f aca="false">IF(I56="","",IF(I56&gt;$I$5,"🔴 Over Limit",IF(I56&gt;$I$5*0.9,"🟡 Warning","✅ OK")))</f>
        <v/>
      </c>
      <c r="L56" s="48"/>
    </row>
  </sheetData>
  <mergeCells count="4">
    <mergeCell ref="B1:L1"/>
    <mergeCell ref="B2:L2"/>
    <mergeCell ref="B3:L3"/>
    <mergeCell ref="B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3"/>
    <col collapsed="false" customWidth="true" hidden="false" outlineLevel="0" max="9" min="8" style="0" width="15"/>
    <col collapsed="false" customWidth="true" hidden="false" outlineLevel="0" max="10" min="10" style="0" width="14"/>
    <col collapsed="false" customWidth="true" hidden="false" outlineLevel="0" max="11" min="11" style="0" width="18"/>
  </cols>
  <sheetData>
    <row r="1" customFormat="false" ht="31.5" hidden="false" customHeight="true" outlineLevel="0" collapsed="false">
      <c r="B1" s="39" t="s">
        <v>100</v>
      </c>
      <c r="C1" s="39"/>
      <c r="D1" s="39"/>
      <c r="E1" s="39"/>
      <c r="F1" s="39"/>
      <c r="G1" s="39"/>
      <c r="H1" s="39"/>
      <c r="I1" s="39"/>
      <c r="J1" s="39"/>
      <c r="K1" s="39"/>
    </row>
    <row r="2" customFormat="false" ht="15" hidden="false" customHeight="true" outlineLevel="0" collapsed="false">
      <c r="B2" s="40" t="s">
        <v>101</v>
      </c>
      <c r="C2" s="40"/>
      <c r="D2" s="40"/>
      <c r="E2" s="40"/>
      <c r="F2" s="40"/>
      <c r="G2" s="40"/>
      <c r="H2" s="40"/>
      <c r="I2" s="40"/>
      <c r="J2" s="40"/>
      <c r="K2" s="40"/>
    </row>
    <row r="3" customFormat="false" ht="21.75" hidden="false" customHeight="true" outlineLevel="0" collapsed="false">
      <c r="B3" s="3" t="s">
        <v>102</v>
      </c>
      <c r="C3" s="3"/>
      <c r="D3" s="3"/>
      <c r="E3" s="3"/>
      <c r="F3" s="3"/>
      <c r="G3" s="3"/>
      <c r="H3" s="3"/>
      <c r="I3" s="3"/>
      <c r="J3" s="3"/>
      <c r="K3" s="3"/>
    </row>
    <row r="4" customFormat="false" ht="19.5" hidden="false" customHeight="true" outlineLevel="0" collapsed="false">
      <c r="B4" s="41" t="s">
        <v>77</v>
      </c>
      <c r="C4" s="20" t="n">
        <f aca="false">SUM(E7:E56)</f>
        <v>124200</v>
      </c>
      <c r="D4" s="20" t="n">
        <f aca="false">SUM(F7:F56)</f>
        <v>2270</v>
      </c>
      <c r="E4" s="22" t="n">
        <f aca="false">IFERROR(D4/(C4+D4),0)</f>
        <v>0.0179489206926544</v>
      </c>
      <c r="F4" s="21" t="n">
        <f aca="false">IFERROR(AVERAGEIF(J7:J56,"&gt;0"),0)</f>
        <v>0.77</v>
      </c>
      <c r="G4" s="42" t="n">
        <f aca="false">COUNTIF(F7:F56,"&gt;0")</f>
        <v>3</v>
      </c>
      <c r="H4" s="49"/>
      <c r="I4" s="49"/>
      <c r="J4" s="49"/>
      <c r="K4" s="49"/>
    </row>
    <row r="6" customFormat="false" ht="27.75" hidden="false" customHeight="true" outlineLevel="0" collapsed="false">
      <c r="B6" s="4" t="s">
        <v>103</v>
      </c>
      <c r="C6" s="4" t="s">
        <v>104</v>
      </c>
      <c r="D6" s="4" t="s">
        <v>105</v>
      </c>
      <c r="E6" s="4" t="s">
        <v>106</v>
      </c>
      <c r="F6" s="4" t="s">
        <v>107</v>
      </c>
      <c r="G6" s="4" t="s">
        <v>108</v>
      </c>
      <c r="H6" s="4" t="s">
        <v>109</v>
      </c>
      <c r="I6" s="4" t="s">
        <v>110</v>
      </c>
      <c r="J6" s="4" t="s">
        <v>111</v>
      </c>
      <c r="K6" s="4" t="s">
        <v>112</v>
      </c>
    </row>
    <row r="7" customFormat="false" ht="18" hidden="false" customHeight="true" outlineLevel="0" collapsed="false">
      <c r="B7" s="25" t="s">
        <v>93</v>
      </c>
      <c r="C7" s="46" t="s">
        <v>113</v>
      </c>
      <c r="D7" s="50" t="n">
        <v>45000</v>
      </c>
      <c r="E7" s="50" t="n">
        <v>44800</v>
      </c>
      <c r="F7" s="50" t="n">
        <v>120</v>
      </c>
      <c r="G7" s="51" t="n">
        <f aca="false">IFERROR(F7/(E7+F7),0)</f>
        <v>0.00267141585040071</v>
      </c>
      <c r="H7" s="50" t="n">
        <v>10000</v>
      </c>
      <c r="I7" s="50" t="n">
        <v>8200</v>
      </c>
      <c r="J7" s="52" t="n">
        <f aca="false">IFERROR(I7/H7,0)</f>
        <v>0.82</v>
      </c>
      <c r="K7" s="10" t="str">
        <f aca="false">IF(F7&gt;0,IF(J7&gt;0.9,"🔴 OOM/Queue Full","🟡 Queue Overflow"),"✅ None")</f>
        <v>🟡 Queue Overflow</v>
      </c>
    </row>
    <row r="8" customFormat="false" ht="18" hidden="false" customHeight="true" outlineLevel="0" collapsed="false">
      <c r="B8" s="28" t="s">
        <v>97</v>
      </c>
      <c r="C8" s="46" t="s">
        <v>113</v>
      </c>
      <c r="D8" s="50" t="n">
        <v>52000</v>
      </c>
      <c r="E8" s="50" t="n">
        <v>49500</v>
      </c>
      <c r="F8" s="50" t="n">
        <v>2100</v>
      </c>
      <c r="G8" s="51" t="n">
        <f aca="false">IFERROR(F8/(E8+F8),0)</f>
        <v>0.0406976744186047</v>
      </c>
      <c r="H8" s="50" t="n">
        <v>10000</v>
      </c>
      <c r="I8" s="50" t="n">
        <v>9800</v>
      </c>
      <c r="J8" s="52" t="n">
        <f aca="false">IFERROR(I8/H8,0)</f>
        <v>0.98</v>
      </c>
      <c r="K8" s="16" t="str">
        <f aca="false">IF(F8&gt;0,IF(J8&gt;0.9,"🔴 OOM/Queue Full","🟡 Queue Overflow"),"✅ None")</f>
        <v>🔴 OOM/Queue Full</v>
      </c>
    </row>
    <row r="9" customFormat="false" ht="18" hidden="false" customHeight="true" outlineLevel="0" collapsed="false">
      <c r="B9" s="25" t="s">
        <v>98</v>
      </c>
      <c r="C9" s="46" t="s">
        <v>113</v>
      </c>
      <c r="D9" s="50" t="n">
        <v>30000</v>
      </c>
      <c r="E9" s="50" t="n">
        <v>29900</v>
      </c>
      <c r="F9" s="50" t="n">
        <v>50</v>
      </c>
      <c r="G9" s="51" t="n">
        <f aca="false">IFERROR(F9/(E9+F9),0)</f>
        <v>0.00166944908180301</v>
      </c>
      <c r="H9" s="50" t="n">
        <v>10000</v>
      </c>
      <c r="I9" s="50" t="n">
        <v>5100</v>
      </c>
      <c r="J9" s="52" t="n">
        <f aca="false">IFERROR(I9/H9,0)</f>
        <v>0.51</v>
      </c>
      <c r="K9" s="10" t="str">
        <f aca="false">IF(F9&gt;0,IF(J9&gt;0.9,"🔴 OOM/Queue Full","🟡 Queue Overflow"),"✅ None")</f>
        <v>🟡 Queue Overflow</v>
      </c>
    </row>
    <row r="10" customFormat="false" ht="18" hidden="false" customHeight="true" outlineLevel="0" collapsed="false">
      <c r="B10" s="48"/>
      <c r="C10" s="46"/>
      <c r="D10" s="50"/>
      <c r="E10" s="50"/>
      <c r="F10" s="50"/>
      <c r="G10" s="51" t="n">
        <f aca="false">IFERROR(F10/(E10+F10),0)</f>
        <v>0</v>
      </c>
      <c r="H10" s="50"/>
      <c r="I10" s="50"/>
      <c r="J10" s="52" t="n">
        <f aca="false">IFERROR(I10/H10,0)</f>
        <v>0</v>
      </c>
      <c r="K10" s="16" t="str">
        <f aca="false">IF(F10&gt;0,IF(J10&gt;0.9,"🔴 OOM/Queue Full","🟡 Queue Overflow"),"✅ None")</f>
        <v>✅ None</v>
      </c>
    </row>
    <row r="11" customFormat="false" ht="18" hidden="false" customHeight="true" outlineLevel="0" collapsed="false">
      <c r="B11" s="49"/>
      <c r="C11" s="46"/>
      <c r="D11" s="50"/>
      <c r="E11" s="50"/>
      <c r="F11" s="50"/>
      <c r="G11" s="51" t="n">
        <f aca="false">IFERROR(F11/(E11+F11),0)</f>
        <v>0</v>
      </c>
      <c r="H11" s="50"/>
      <c r="I11" s="50"/>
      <c r="J11" s="52" t="n">
        <f aca="false">IFERROR(I11/H11,0)</f>
        <v>0</v>
      </c>
      <c r="K11" s="10" t="str">
        <f aca="false">IF(F11&gt;0,IF(J11&gt;0.9,"🔴 OOM/Queue Full","🟡 Queue Overflow"),"✅ None")</f>
        <v>✅ None</v>
      </c>
    </row>
    <row r="12" customFormat="false" ht="18" hidden="false" customHeight="true" outlineLevel="0" collapsed="false">
      <c r="B12" s="48"/>
      <c r="C12" s="46"/>
      <c r="D12" s="50"/>
      <c r="E12" s="50"/>
      <c r="F12" s="50"/>
      <c r="G12" s="51" t="n">
        <f aca="false">IFERROR(F12/(E12+F12),0)</f>
        <v>0</v>
      </c>
      <c r="H12" s="50"/>
      <c r="I12" s="50"/>
      <c r="J12" s="52" t="n">
        <f aca="false">IFERROR(I12/H12,0)</f>
        <v>0</v>
      </c>
      <c r="K12" s="16" t="str">
        <f aca="false">IF(F12&gt;0,IF(J12&gt;0.9,"🔴 OOM/Queue Full","🟡 Queue Overflow"),"✅ None")</f>
        <v>✅ None</v>
      </c>
    </row>
    <row r="13" customFormat="false" ht="18" hidden="false" customHeight="true" outlineLevel="0" collapsed="false">
      <c r="B13" s="49"/>
      <c r="C13" s="46"/>
      <c r="D13" s="50"/>
      <c r="E13" s="50"/>
      <c r="F13" s="50"/>
      <c r="G13" s="51" t="n">
        <f aca="false">IFERROR(F13/(E13+F13),0)</f>
        <v>0</v>
      </c>
      <c r="H13" s="50"/>
      <c r="I13" s="50"/>
      <c r="J13" s="52" t="n">
        <f aca="false">IFERROR(I13/H13,0)</f>
        <v>0</v>
      </c>
      <c r="K13" s="10" t="str">
        <f aca="false">IF(F13&gt;0,IF(J13&gt;0.9,"🔴 OOM/Queue Full","🟡 Queue Overflow"),"✅ None")</f>
        <v>✅ None</v>
      </c>
    </row>
    <row r="14" customFormat="false" ht="18" hidden="false" customHeight="true" outlineLevel="0" collapsed="false">
      <c r="B14" s="48"/>
      <c r="C14" s="46"/>
      <c r="D14" s="50"/>
      <c r="E14" s="50"/>
      <c r="F14" s="50"/>
      <c r="G14" s="51" t="n">
        <f aca="false">IFERROR(F14/(E14+F14),0)</f>
        <v>0</v>
      </c>
      <c r="H14" s="50"/>
      <c r="I14" s="50"/>
      <c r="J14" s="52" t="n">
        <f aca="false">IFERROR(I14/H14,0)</f>
        <v>0</v>
      </c>
      <c r="K14" s="16" t="str">
        <f aca="false">IF(F14&gt;0,IF(J14&gt;0.9,"🔴 OOM/Queue Full","🟡 Queue Overflow"),"✅ None")</f>
        <v>✅ None</v>
      </c>
    </row>
    <row r="15" customFormat="false" ht="18" hidden="false" customHeight="true" outlineLevel="0" collapsed="false">
      <c r="B15" s="49"/>
      <c r="C15" s="46"/>
      <c r="D15" s="50"/>
      <c r="E15" s="50"/>
      <c r="F15" s="50"/>
      <c r="G15" s="51" t="n">
        <f aca="false">IFERROR(F15/(E15+F15),0)</f>
        <v>0</v>
      </c>
      <c r="H15" s="50"/>
      <c r="I15" s="50"/>
      <c r="J15" s="52" t="n">
        <f aca="false">IFERROR(I15/H15,0)</f>
        <v>0</v>
      </c>
      <c r="K15" s="10" t="str">
        <f aca="false">IF(F15&gt;0,IF(J15&gt;0.9,"🔴 OOM/Queue Full","🟡 Queue Overflow"),"✅ None")</f>
        <v>✅ None</v>
      </c>
    </row>
    <row r="16" customFormat="false" ht="18" hidden="false" customHeight="true" outlineLevel="0" collapsed="false">
      <c r="B16" s="48"/>
      <c r="C16" s="46"/>
      <c r="D16" s="50"/>
      <c r="E16" s="50"/>
      <c r="F16" s="50"/>
      <c r="G16" s="51" t="n">
        <f aca="false">IFERROR(F16/(E16+F16),0)</f>
        <v>0</v>
      </c>
      <c r="H16" s="50"/>
      <c r="I16" s="50"/>
      <c r="J16" s="52" t="n">
        <f aca="false">IFERROR(I16/H16,0)</f>
        <v>0</v>
      </c>
      <c r="K16" s="16" t="str">
        <f aca="false">IF(F16&gt;0,IF(J16&gt;0.9,"🔴 OOM/Queue Full","🟡 Queue Overflow"),"✅ None")</f>
        <v>✅ None</v>
      </c>
    </row>
    <row r="17" customFormat="false" ht="18" hidden="false" customHeight="true" outlineLevel="0" collapsed="false">
      <c r="B17" s="49"/>
      <c r="C17" s="46"/>
      <c r="D17" s="50"/>
      <c r="E17" s="50"/>
      <c r="F17" s="50"/>
      <c r="G17" s="51" t="n">
        <f aca="false">IFERROR(F17/(E17+F17),0)</f>
        <v>0</v>
      </c>
      <c r="H17" s="50"/>
      <c r="I17" s="50"/>
      <c r="J17" s="52" t="n">
        <f aca="false">IFERROR(I17/H17,0)</f>
        <v>0</v>
      </c>
      <c r="K17" s="10" t="str">
        <f aca="false">IF(F17&gt;0,IF(J17&gt;0.9,"🔴 OOM/Queue Full","🟡 Queue Overflow"),"✅ None")</f>
        <v>✅ None</v>
      </c>
    </row>
    <row r="18" customFormat="false" ht="18" hidden="false" customHeight="true" outlineLevel="0" collapsed="false">
      <c r="B18" s="48"/>
      <c r="C18" s="46"/>
      <c r="D18" s="50"/>
      <c r="E18" s="50"/>
      <c r="F18" s="50"/>
      <c r="G18" s="51" t="n">
        <f aca="false">IFERROR(F18/(E18+F18),0)</f>
        <v>0</v>
      </c>
      <c r="H18" s="50"/>
      <c r="I18" s="50"/>
      <c r="J18" s="52" t="n">
        <f aca="false">IFERROR(I18/H18,0)</f>
        <v>0</v>
      </c>
      <c r="K18" s="16" t="str">
        <f aca="false">IF(F18&gt;0,IF(J18&gt;0.9,"🔴 OOM/Queue Full","🟡 Queue Overflow"),"✅ None")</f>
        <v>✅ None</v>
      </c>
    </row>
    <row r="19" customFormat="false" ht="18" hidden="false" customHeight="true" outlineLevel="0" collapsed="false">
      <c r="B19" s="49"/>
      <c r="C19" s="46"/>
      <c r="D19" s="50"/>
      <c r="E19" s="50"/>
      <c r="F19" s="50"/>
      <c r="G19" s="51" t="n">
        <f aca="false">IFERROR(F19/(E19+F19),0)</f>
        <v>0</v>
      </c>
      <c r="H19" s="50"/>
      <c r="I19" s="50"/>
      <c r="J19" s="52" t="n">
        <f aca="false">IFERROR(I19/H19,0)</f>
        <v>0</v>
      </c>
      <c r="K19" s="10" t="str">
        <f aca="false">IF(F19&gt;0,IF(J19&gt;0.9,"🔴 OOM/Queue Full","🟡 Queue Overflow"),"✅ None")</f>
        <v>✅ None</v>
      </c>
    </row>
    <row r="20" customFormat="false" ht="18" hidden="false" customHeight="true" outlineLevel="0" collapsed="false">
      <c r="B20" s="48"/>
      <c r="C20" s="46"/>
      <c r="D20" s="50"/>
      <c r="E20" s="50"/>
      <c r="F20" s="50"/>
      <c r="G20" s="51" t="n">
        <f aca="false">IFERROR(F20/(E20+F20),0)</f>
        <v>0</v>
      </c>
      <c r="H20" s="50"/>
      <c r="I20" s="50"/>
      <c r="J20" s="52" t="n">
        <f aca="false">IFERROR(I20/H20,0)</f>
        <v>0</v>
      </c>
      <c r="K20" s="16" t="str">
        <f aca="false">IF(F20&gt;0,IF(J20&gt;0.9,"🔴 OOM/Queue Full","🟡 Queue Overflow"),"✅ None")</f>
        <v>✅ None</v>
      </c>
    </row>
    <row r="21" customFormat="false" ht="18" hidden="false" customHeight="true" outlineLevel="0" collapsed="false">
      <c r="B21" s="49"/>
      <c r="C21" s="46"/>
      <c r="D21" s="50"/>
      <c r="E21" s="50"/>
      <c r="F21" s="50"/>
      <c r="G21" s="51" t="n">
        <f aca="false">IFERROR(F21/(E21+F21),0)</f>
        <v>0</v>
      </c>
      <c r="H21" s="50"/>
      <c r="I21" s="50"/>
      <c r="J21" s="52" t="n">
        <f aca="false">IFERROR(I21/H21,0)</f>
        <v>0</v>
      </c>
      <c r="K21" s="10" t="str">
        <f aca="false">IF(F21&gt;0,IF(J21&gt;0.9,"🔴 OOM/Queue Full","🟡 Queue Overflow"),"✅ None")</f>
        <v>✅ None</v>
      </c>
    </row>
    <row r="22" customFormat="false" ht="18" hidden="false" customHeight="true" outlineLevel="0" collapsed="false">
      <c r="B22" s="48"/>
      <c r="C22" s="46"/>
      <c r="D22" s="50"/>
      <c r="E22" s="50"/>
      <c r="F22" s="50"/>
      <c r="G22" s="51" t="n">
        <f aca="false">IFERROR(F22/(E22+F22),0)</f>
        <v>0</v>
      </c>
      <c r="H22" s="50"/>
      <c r="I22" s="50"/>
      <c r="J22" s="52" t="n">
        <f aca="false">IFERROR(I22/H22,0)</f>
        <v>0</v>
      </c>
      <c r="K22" s="16" t="str">
        <f aca="false">IF(F22&gt;0,IF(J22&gt;0.9,"🔴 OOM/Queue Full","🟡 Queue Overflow"),"✅ None")</f>
        <v>✅ None</v>
      </c>
    </row>
    <row r="23" customFormat="false" ht="18" hidden="false" customHeight="true" outlineLevel="0" collapsed="false">
      <c r="B23" s="49"/>
      <c r="C23" s="46"/>
      <c r="D23" s="50"/>
      <c r="E23" s="50"/>
      <c r="F23" s="50"/>
      <c r="G23" s="51" t="n">
        <f aca="false">IFERROR(F23/(E23+F23),0)</f>
        <v>0</v>
      </c>
      <c r="H23" s="50"/>
      <c r="I23" s="50"/>
      <c r="J23" s="52" t="n">
        <f aca="false">IFERROR(I23/H23,0)</f>
        <v>0</v>
      </c>
      <c r="K23" s="10" t="str">
        <f aca="false">IF(F23&gt;0,IF(J23&gt;0.9,"🔴 OOM/Queue Full","🟡 Queue Overflow"),"✅ None")</f>
        <v>✅ None</v>
      </c>
    </row>
    <row r="24" customFormat="false" ht="18" hidden="false" customHeight="true" outlineLevel="0" collapsed="false">
      <c r="B24" s="48"/>
      <c r="C24" s="46"/>
      <c r="D24" s="50"/>
      <c r="E24" s="50"/>
      <c r="F24" s="50"/>
      <c r="G24" s="51" t="n">
        <f aca="false">IFERROR(F24/(E24+F24),0)</f>
        <v>0</v>
      </c>
      <c r="H24" s="50"/>
      <c r="I24" s="50"/>
      <c r="J24" s="52" t="n">
        <f aca="false">IFERROR(I24/H24,0)</f>
        <v>0</v>
      </c>
      <c r="K24" s="16" t="str">
        <f aca="false">IF(F24&gt;0,IF(J24&gt;0.9,"🔴 OOM/Queue Full","🟡 Queue Overflow"),"✅ None")</f>
        <v>✅ None</v>
      </c>
    </row>
    <row r="25" customFormat="false" ht="18" hidden="false" customHeight="true" outlineLevel="0" collapsed="false">
      <c r="B25" s="49"/>
      <c r="C25" s="46"/>
      <c r="D25" s="50"/>
      <c r="E25" s="50"/>
      <c r="F25" s="50"/>
      <c r="G25" s="51" t="n">
        <f aca="false">IFERROR(F25/(E25+F25),0)</f>
        <v>0</v>
      </c>
      <c r="H25" s="50"/>
      <c r="I25" s="50"/>
      <c r="J25" s="52" t="n">
        <f aca="false">IFERROR(I25/H25,0)</f>
        <v>0</v>
      </c>
      <c r="K25" s="10" t="str">
        <f aca="false">IF(F25&gt;0,IF(J25&gt;0.9,"🔴 OOM/Queue Full","🟡 Queue Overflow"),"✅ None")</f>
        <v>✅ None</v>
      </c>
    </row>
    <row r="26" customFormat="false" ht="18" hidden="false" customHeight="true" outlineLevel="0" collapsed="false">
      <c r="B26" s="48"/>
      <c r="C26" s="46"/>
      <c r="D26" s="50"/>
      <c r="E26" s="50"/>
      <c r="F26" s="50"/>
      <c r="G26" s="51" t="n">
        <f aca="false">IFERROR(F26/(E26+F26),0)</f>
        <v>0</v>
      </c>
      <c r="H26" s="50"/>
      <c r="I26" s="50"/>
      <c r="J26" s="52" t="n">
        <f aca="false">IFERROR(I26/H26,0)</f>
        <v>0</v>
      </c>
      <c r="K26" s="16" t="str">
        <f aca="false">IF(F26&gt;0,IF(J26&gt;0.9,"🔴 OOM/Queue Full","🟡 Queue Overflow"),"✅ None")</f>
        <v>✅ None</v>
      </c>
    </row>
    <row r="27" customFormat="false" ht="18" hidden="false" customHeight="true" outlineLevel="0" collapsed="false">
      <c r="B27" s="49"/>
      <c r="C27" s="46"/>
      <c r="D27" s="50"/>
      <c r="E27" s="50"/>
      <c r="F27" s="50"/>
      <c r="G27" s="51" t="n">
        <f aca="false">IFERROR(F27/(E27+F27),0)</f>
        <v>0</v>
      </c>
      <c r="H27" s="50"/>
      <c r="I27" s="50"/>
      <c r="J27" s="52" t="n">
        <f aca="false">IFERROR(I27/H27,0)</f>
        <v>0</v>
      </c>
      <c r="K27" s="10" t="str">
        <f aca="false">IF(F27&gt;0,IF(J27&gt;0.9,"🔴 OOM/Queue Full","🟡 Queue Overflow"),"✅ None")</f>
        <v>✅ None</v>
      </c>
    </row>
    <row r="28" customFormat="false" ht="18" hidden="false" customHeight="true" outlineLevel="0" collapsed="false">
      <c r="B28" s="48"/>
      <c r="C28" s="46"/>
      <c r="D28" s="50"/>
      <c r="E28" s="50"/>
      <c r="F28" s="50"/>
      <c r="G28" s="51" t="n">
        <f aca="false">IFERROR(F28/(E28+F28),0)</f>
        <v>0</v>
      </c>
      <c r="H28" s="50"/>
      <c r="I28" s="50"/>
      <c r="J28" s="52" t="n">
        <f aca="false">IFERROR(I28/H28,0)</f>
        <v>0</v>
      </c>
      <c r="K28" s="16" t="str">
        <f aca="false">IF(F28&gt;0,IF(J28&gt;0.9,"🔴 OOM/Queue Full","🟡 Queue Overflow"),"✅ None")</f>
        <v>✅ None</v>
      </c>
    </row>
    <row r="29" customFormat="false" ht="18" hidden="false" customHeight="true" outlineLevel="0" collapsed="false">
      <c r="B29" s="49"/>
      <c r="C29" s="46"/>
      <c r="D29" s="50"/>
      <c r="E29" s="50"/>
      <c r="F29" s="50"/>
      <c r="G29" s="51" t="n">
        <f aca="false">IFERROR(F29/(E29+F29),0)</f>
        <v>0</v>
      </c>
      <c r="H29" s="50"/>
      <c r="I29" s="50"/>
      <c r="J29" s="52" t="n">
        <f aca="false">IFERROR(I29/H29,0)</f>
        <v>0</v>
      </c>
      <c r="K29" s="10" t="str">
        <f aca="false">IF(F29&gt;0,IF(J29&gt;0.9,"🔴 OOM/Queue Full","🟡 Queue Overflow"),"✅ None")</f>
        <v>✅ None</v>
      </c>
    </row>
    <row r="30" customFormat="false" ht="18" hidden="false" customHeight="true" outlineLevel="0" collapsed="false">
      <c r="B30" s="48"/>
      <c r="C30" s="46"/>
      <c r="D30" s="50"/>
      <c r="E30" s="50"/>
      <c r="F30" s="50"/>
      <c r="G30" s="51" t="n">
        <f aca="false">IFERROR(F30/(E30+F30),0)</f>
        <v>0</v>
      </c>
      <c r="H30" s="50"/>
      <c r="I30" s="50"/>
      <c r="J30" s="52" t="n">
        <f aca="false">IFERROR(I30/H30,0)</f>
        <v>0</v>
      </c>
      <c r="K30" s="16" t="str">
        <f aca="false">IF(F30&gt;0,IF(J30&gt;0.9,"🔴 OOM/Queue Full","🟡 Queue Overflow"),"✅ None")</f>
        <v>✅ None</v>
      </c>
    </row>
    <row r="31" customFormat="false" ht="18" hidden="false" customHeight="true" outlineLevel="0" collapsed="false">
      <c r="B31" s="49"/>
      <c r="C31" s="46"/>
      <c r="D31" s="50"/>
      <c r="E31" s="50"/>
      <c r="F31" s="50"/>
      <c r="G31" s="51" t="n">
        <f aca="false">IFERROR(F31/(E31+F31),0)</f>
        <v>0</v>
      </c>
      <c r="H31" s="50"/>
      <c r="I31" s="50"/>
      <c r="J31" s="52" t="n">
        <f aca="false">IFERROR(I31/H31,0)</f>
        <v>0</v>
      </c>
      <c r="K31" s="10" t="str">
        <f aca="false">IF(F31&gt;0,IF(J31&gt;0.9,"🔴 OOM/Queue Full","🟡 Queue Overflow"),"✅ None")</f>
        <v>✅ None</v>
      </c>
    </row>
    <row r="32" customFormat="false" ht="18" hidden="false" customHeight="true" outlineLevel="0" collapsed="false">
      <c r="B32" s="48"/>
      <c r="C32" s="46"/>
      <c r="D32" s="50"/>
      <c r="E32" s="50"/>
      <c r="F32" s="50"/>
      <c r="G32" s="51" t="n">
        <f aca="false">IFERROR(F32/(E32+F32),0)</f>
        <v>0</v>
      </c>
      <c r="H32" s="50"/>
      <c r="I32" s="50"/>
      <c r="J32" s="52" t="n">
        <f aca="false">IFERROR(I32/H32,0)</f>
        <v>0</v>
      </c>
      <c r="K32" s="16" t="str">
        <f aca="false">IF(F32&gt;0,IF(J32&gt;0.9,"🔴 OOM/Queue Full","🟡 Queue Overflow"),"✅ None")</f>
        <v>✅ None</v>
      </c>
    </row>
    <row r="33" customFormat="false" ht="18" hidden="false" customHeight="true" outlineLevel="0" collapsed="false">
      <c r="B33" s="49"/>
      <c r="C33" s="46"/>
      <c r="D33" s="50"/>
      <c r="E33" s="50"/>
      <c r="F33" s="50"/>
      <c r="G33" s="51" t="n">
        <f aca="false">IFERROR(F33/(E33+F33),0)</f>
        <v>0</v>
      </c>
      <c r="H33" s="50"/>
      <c r="I33" s="50"/>
      <c r="J33" s="52" t="n">
        <f aca="false">IFERROR(I33/H33,0)</f>
        <v>0</v>
      </c>
      <c r="K33" s="10" t="str">
        <f aca="false">IF(F33&gt;0,IF(J33&gt;0.9,"🔴 OOM/Queue Full","🟡 Queue Overflow"),"✅ None")</f>
        <v>✅ None</v>
      </c>
    </row>
    <row r="34" customFormat="false" ht="18" hidden="false" customHeight="true" outlineLevel="0" collapsed="false">
      <c r="B34" s="48"/>
      <c r="C34" s="46"/>
      <c r="D34" s="50"/>
      <c r="E34" s="50"/>
      <c r="F34" s="50"/>
      <c r="G34" s="51" t="n">
        <f aca="false">IFERROR(F34/(E34+F34),0)</f>
        <v>0</v>
      </c>
      <c r="H34" s="50"/>
      <c r="I34" s="50"/>
      <c r="J34" s="52" t="n">
        <f aca="false">IFERROR(I34/H34,0)</f>
        <v>0</v>
      </c>
      <c r="K34" s="16" t="str">
        <f aca="false">IF(F34&gt;0,IF(J34&gt;0.9,"🔴 OOM/Queue Full","🟡 Queue Overflow"),"✅ None")</f>
        <v>✅ None</v>
      </c>
    </row>
    <row r="35" customFormat="false" ht="18" hidden="false" customHeight="true" outlineLevel="0" collapsed="false">
      <c r="B35" s="49"/>
      <c r="C35" s="46"/>
      <c r="D35" s="50"/>
      <c r="E35" s="50"/>
      <c r="F35" s="50"/>
      <c r="G35" s="51" t="n">
        <f aca="false">IFERROR(F35/(E35+F35),0)</f>
        <v>0</v>
      </c>
      <c r="H35" s="50"/>
      <c r="I35" s="50"/>
      <c r="J35" s="52" t="n">
        <f aca="false">IFERROR(I35/H35,0)</f>
        <v>0</v>
      </c>
      <c r="K35" s="10" t="str">
        <f aca="false">IF(F35&gt;0,IF(J35&gt;0.9,"🔴 OOM/Queue Full","🟡 Queue Overflow"),"✅ None")</f>
        <v>✅ None</v>
      </c>
    </row>
    <row r="36" customFormat="false" ht="18" hidden="false" customHeight="true" outlineLevel="0" collapsed="false">
      <c r="B36" s="48"/>
      <c r="C36" s="46"/>
      <c r="D36" s="50"/>
      <c r="E36" s="50"/>
      <c r="F36" s="50"/>
      <c r="G36" s="51" t="n">
        <f aca="false">IFERROR(F36/(E36+F36),0)</f>
        <v>0</v>
      </c>
      <c r="H36" s="50"/>
      <c r="I36" s="50"/>
      <c r="J36" s="52" t="n">
        <f aca="false">IFERROR(I36/H36,0)</f>
        <v>0</v>
      </c>
      <c r="K36" s="16" t="str">
        <f aca="false">IF(F36&gt;0,IF(J36&gt;0.9,"🔴 OOM/Queue Full","🟡 Queue Overflow"),"✅ None")</f>
        <v>✅ None</v>
      </c>
    </row>
    <row r="37" customFormat="false" ht="18" hidden="false" customHeight="true" outlineLevel="0" collapsed="false">
      <c r="B37" s="49"/>
      <c r="C37" s="46"/>
      <c r="D37" s="50"/>
      <c r="E37" s="50"/>
      <c r="F37" s="50"/>
      <c r="G37" s="51" t="n">
        <f aca="false">IFERROR(F37/(E37+F37),0)</f>
        <v>0</v>
      </c>
      <c r="H37" s="50"/>
      <c r="I37" s="50"/>
      <c r="J37" s="52" t="n">
        <f aca="false">IFERROR(I37/H37,0)</f>
        <v>0</v>
      </c>
      <c r="K37" s="10" t="str">
        <f aca="false">IF(F37&gt;0,IF(J37&gt;0.9,"🔴 OOM/Queue Full","🟡 Queue Overflow"),"✅ None")</f>
        <v>✅ None</v>
      </c>
    </row>
    <row r="38" customFormat="false" ht="18" hidden="false" customHeight="true" outlineLevel="0" collapsed="false">
      <c r="B38" s="48"/>
      <c r="C38" s="46"/>
      <c r="D38" s="50"/>
      <c r="E38" s="50"/>
      <c r="F38" s="50"/>
      <c r="G38" s="51" t="n">
        <f aca="false">IFERROR(F38/(E38+F38),0)</f>
        <v>0</v>
      </c>
      <c r="H38" s="50"/>
      <c r="I38" s="50"/>
      <c r="J38" s="52" t="n">
        <f aca="false">IFERROR(I38/H38,0)</f>
        <v>0</v>
      </c>
      <c r="K38" s="16" t="str">
        <f aca="false">IF(F38&gt;0,IF(J38&gt;0.9,"🔴 OOM/Queue Full","🟡 Queue Overflow"),"✅ None")</f>
        <v>✅ None</v>
      </c>
    </row>
    <row r="39" customFormat="false" ht="18" hidden="false" customHeight="true" outlineLevel="0" collapsed="false">
      <c r="B39" s="49"/>
      <c r="C39" s="46"/>
      <c r="D39" s="50"/>
      <c r="E39" s="50"/>
      <c r="F39" s="50"/>
      <c r="G39" s="51" t="n">
        <f aca="false">IFERROR(F39/(E39+F39),0)</f>
        <v>0</v>
      </c>
      <c r="H39" s="50"/>
      <c r="I39" s="50"/>
      <c r="J39" s="52" t="n">
        <f aca="false">IFERROR(I39/H39,0)</f>
        <v>0</v>
      </c>
      <c r="K39" s="10" t="str">
        <f aca="false">IF(F39&gt;0,IF(J39&gt;0.9,"🔴 OOM/Queue Full","🟡 Queue Overflow"),"✅ None")</f>
        <v>✅ None</v>
      </c>
    </row>
    <row r="40" customFormat="false" ht="18" hidden="false" customHeight="true" outlineLevel="0" collapsed="false">
      <c r="B40" s="48"/>
      <c r="C40" s="46"/>
      <c r="D40" s="50"/>
      <c r="E40" s="50"/>
      <c r="F40" s="50"/>
      <c r="G40" s="51" t="n">
        <f aca="false">IFERROR(F40/(E40+F40),0)</f>
        <v>0</v>
      </c>
      <c r="H40" s="50"/>
      <c r="I40" s="50"/>
      <c r="J40" s="52" t="n">
        <f aca="false">IFERROR(I40/H40,0)</f>
        <v>0</v>
      </c>
      <c r="K40" s="16" t="str">
        <f aca="false">IF(F40&gt;0,IF(J40&gt;0.9,"🔴 OOM/Queue Full","🟡 Queue Overflow"),"✅ None")</f>
        <v>✅ None</v>
      </c>
    </row>
    <row r="41" customFormat="false" ht="18" hidden="false" customHeight="true" outlineLevel="0" collapsed="false">
      <c r="B41" s="49"/>
      <c r="C41" s="46"/>
      <c r="D41" s="50"/>
      <c r="E41" s="50"/>
      <c r="F41" s="50"/>
      <c r="G41" s="51" t="n">
        <f aca="false">IFERROR(F41/(E41+F41),0)</f>
        <v>0</v>
      </c>
      <c r="H41" s="50"/>
      <c r="I41" s="50"/>
      <c r="J41" s="52" t="n">
        <f aca="false">IFERROR(I41/H41,0)</f>
        <v>0</v>
      </c>
      <c r="K41" s="10" t="str">
        <f aca="false">IF(F41&gt;0,IF(J41&gt;0.9,"🔴 OOM/Queue Full","🟡 Queue Overflow"),"✅ None")</f>
        <v>✅ None</v>
      </c>
    </row>
    <row r="42" customFormat="false" ht="18" hidden="false" customHeight="true" outlineLevel="0" collapsed="false">
      <c r="B42" s="48"/>
      <c r="C42" s="46"/>
      <c r="D42" s="50"/>
      <c r="E42" s="50"/>
      <c r="F42" s="50"/>
      <c r="G42" s="51" t="n">
        <f aca="false">IFERROR(F42/(E42+F42),0)</f>
        <v>0</v>
      </c>
      <c r="H42" s="50"/>
      <c r="I42" s="50"/>
      <c r="J42" s="52" t="n">
        <f aca="false">IFERROR(I42/H42,0)</f>
        <v>0</v>
      </c>
      <c r="K42" s="16" t="str">
        <f aca="false">IF(F42&gt;0,IF(J42&gt;0.9,"🔴 OOM/Queue Full","🟡 Queue Overflow"),"✅ None")</f>
        <v>✅ None</v>
      </c>
    </row>
    <row r="43" customFormat="false" ht="18" hidden="false" customHeight="true" outlineLevel="0" collapsed="false">
      <c r="B43" s="49"/>
      <c r="C43" s="46"/>
      <c r="D43" s="50"/>
      <c r="E43" s="50"/>
      <c r="F43" s="50"/>
      <c r="G43" s="51" t="n">
        <f aca="false">IFERROR(F43/(E43+F43),0)</f>
        <v>0</v>
      </c>
      <c r="H43" s="50"/>
      <c r="I43" s="50"/>
      <c r="J43" s="52" t="n">
        <f aca="false">IFERROR(I43/H43,0)</f>
        <v>0</v>
      </c>
      <c r="K43" s="10" t="str">
        <f aca="false">IF(F43&gt;0,IF(J43&gt;0.9,"🔴 OOM/Queue Full","🟡 Queue Overflow"),"✅ None")</f>
        <v>✅ None</v>
      </c>
    </row>
    <row r="44" customFormat="false" ht="18" hidden="false" customHeight="true" outlineLevel="0" collapsed="false">
      <c r="B44" s="48"/>
      <c r="C44" s="46"/>
      <c r="D44" s="50"/>
      <c r="E44" s="50"/>
      <c r="F44" s="50"/>
      <c r="G44" s="51" t="n">
        <f aca="false">IFERROR(F44/(E44+F44),0)</f>
        <v>0</v>
      </c>
      <c r="H44" s="50"/>
      <c r="I44" s="50"/>
      <c r="J44" s="52" t="n">
        <f aca="false">IFERROR(I44/H44,0)</f>
        <v>0</v>
      </c>
      <c r="K44" s="16" t="str">
        <f aca="false">IF(F44&gt;0,IF(J44&gt;0.9,"🔴 OOM/Queue Full","🟡 Queue Overflow"),"✅ None")</f>
        <v>✅ None</v>
      </c>
    </row>
    <row r="45" customFormat="false" ht="18" hidden="false" customHeight="true" outlineLevel="0" collapsed="false">
      <c r="B45" s="49"/>
      <c r="C45" s="46"/>
      <c r="D45" s="50"/>
      <c r="E45" s="50"/>
      <c r="F45" s="50"/>
      <c r="G45" s="51" t="n">
        <f aca="false">IFERROR(F45/(E45+F45),0)</f>
        <v>0</v>
      </c>
      <c r="H45" s="50"/>
      <c r="I45" s="50"/>
      <c r="J45" s="52" t="n">
        <f aca="false">IFERROR(I45/H45,0)</f>
        <v>0</v>
      </c>
      <c r="K45" s="10" t="str">
        <f aca="false">IF(F45&gt;0,IF(J45&gt;0.9,"🔴 OOM/Queue Full","🟡 Queue Overflow"),"✅ None")</f>
        <v>✅ None</v>
      </c>
    </row>
    <row r="46" customFormat="false" ht="18" hidden="false" customHeight="true" outlineLevel="0" collapsed="false">
      <c r="B46" s="48"/>
      <c r="C46" s="46"/>
      <c r="D46" s="50"/>
      <c r="E46" s="50"/>
      <c r="F46" s="50"/>
      <c r="G46" s="51" t="n">
        <f aca="false">IFERROR(F46/(E46+F46),0)</f>
        <v>0</v>
      </c>
      <c r="H46" s="50"/>
      <c r="I46" s="50"/>
      <c r="J46" s="52" t="n">
        <f aca="false">IFERROR(I46/H46,0)</f>
        <v>0</v>
      </c>
      <c r="K46" s="16" t="str">
        <f aca="false">IF(F46&gt;0,IF(J46&gt;0.9,"🔴 OOM/Queue Full","🟡 Queue Overflow"),"✅ None")</f>
        <v>✅ None</v>
      </c>
    </row>
    <row r="47" customFormat="false" ht="18" hidden="false" customHeight="true" outlineLevel="0" collapsed="false">
      <c r="B47" s="49"/>
      <c r="C47" s="46"/>
      <c r="D47" s="50"/>
      <c r="E47" s="50"/>
      <c r="F47" s="50"/>
      <c r="G47" s="51" t="n">
        <f aca="false">IFERROR(F47/(E47+F47),0)</f>
        <v>0</v>
      </c>
      <c r="H47" s="50"/>
      <c r="I47" s="50"/>
      <c r="J47" s="52" t="n">
        <f aca="false">IFERROR(I47/H47,0)</f>
        <v>0</v>
      </c>
      <c r="K47" s="10" t="str">
        <f aca="false">IF(F47&gt;0,IF(J47&gt;0.9,"🔴 OOM/Queue Full","🟡 Queue Overflow"),"✅ None")</f>
        <v>✅ None</v>
      </c>
    </row>
    <row r="48" customFormat="false" ht="18" hidden="false" customHeight="true" outlineLevel="0" collapsed="false">
      <c r="B48" s="48"/>
      <c r="C48" s="46"/>
      <c r="D48" s="50"/>
      <c r="E48" s="50"/>
      <c r="F48" s="50"/>
      <c r="G48" s="51" t="n">
        <f aca="false">IFERROR(F48/(E48+F48),0)</f>
        <v>0</v>
      </c>
      <c r="H48" s="50"/>
      <c r="I48" s="50"/>
      <c r="J48" s="52" t="n">
        <f aca="false">IFERROR(I48/H48,0)</f>
        <v>0</v>
      </c>
      <c r="K48" s="16" t="str">
        <f aca="false">IF(F48&gt;0,IF(J48&gt;0.9,"🔴 OOM/Queue Full","🟡 Queue Overflow"),"✅ None")</f>
        <v>✅ None</v>
      </c>
    </row>
    <row r="49" customFormat="false" ht="18" hidden="false" customHeight="true" outlineLevel="0" collapsed="false">
      <c r="B49" s="49"/>
      <c r="C49" s="46"/>
      <c r="D49" s="50"/>
      <c r="E49" s="50"/>
      <c r="F49" s="50"/>
      <c r="G49" s="51" t="n">
        <f aca="false">IFERROR(F49/(E49+F49),0)</f>
        <v>0</v>
      </c>
      <c r="H49" s="50"/>
      <c r="I49" s="50"/>
      <c r="J49" s="52" t="n">
        <f aca="false">IFERROR(I49/H49,0)</f>
        <v>0</v>
      </c>
      <c r="K49" s="10" t="str">
        <f aca="false">IF(F49&gt;0,IF(J49&gt;0.9,"🔴 OOM/Queue Full","🟡 Queue Overflow"),"✅ None")</f>
        <v>✅ None</v>
      </c>
    </row>
    <row r="50" customFormat="false" ht="18" hidden="false" customHeight="true" outlineLevel="0" collapsed="false">
      <c r="B50" s="48"/>
      <c r="C50" s="46"/>
      <c r="D50" s="50"/>
      <c r="E50" s="50"/>
      <c r="F50" s="50"/>
      <c r="G50" s="51" t="n">
        <f aca="false">IFERROR(F50/(E50+F50),0)</f>
        <v>0</v>
      </c>
      <c r="H50" s="50"/>
      <c r="I50" s="50"/>
      <c r="J50" s="52" t="n">
        <f aca="false">IFERROR(I50/H50,0)</f>
        <v>0</v>
      </c>
      <c r="K50" s="16" t="str">
        <f aca="false">IF(F50&gt;0,IF(J50&gt;0.9,"🔴 OOM/Queue Full","🟡 Queue Overflow"),"✅ None")</f>
        <v>✅ None</v>
      </c>
    </row>
    <row r="51" customFormat="false" ht="18" hidden="false" customHeight="true" outlineLevel="0" collapsed="false">
      <c r="B51" s="49"/>
      <c r="C51" s="46"/>
      <c r="D51" s="50"/>
      <c r="E51" s="50"/>
      <c r="F51" s="50"/>
      <c r="G51" s="51" t="n">
        <f aca="false">IFERROR(F51/(E51+F51),0)</f>
        <v>0</v>
      </c>
      <c r="H51" s="50"/>
      <c r="I51" s="50"/>
      <c r="J51" s="52" t="n">
        <f aca="false">IFERROR(I51/H51,0)</f>
        <v>0</v>
      </c>
      <c r="K51" s="10" t="str">
        <f aca="false">IF(F51&gt;0,IF(J51&gt;0.9,"🔴 OOM/Queue Full","🟡 Queue Overflow"),"✅ None")</f>
        <v>✅ None</v>
      </c>
    </row>
    <row r="52" customFormat="false" ht="18" hidden="false" customHeight="true" outlineLevel="0" collapsed="false">
      <c r="B52" s="48"/>
      <c r="C52" s="46"/>
      <c r="D52" s="50"/>
      <c r="E52" s="50"/>
      <c r="F52" s="50"/>
      <c r="G52" s="51" t="n">
        <f aca="false">IFERROR(F52/(E52+F52),0)</f>
        <v>0</v>
      </c>
      <c r="H52" s="50"/>
      <c r="I52" s="50"/>
      <c r="J52" s="52" t="n">
        <f aca="false">IFERROR(I52/H52,0)</f>
        <v>0</v>
      </c>
      <c r="K52" s="16" t="str">
        <f aca="false">IF(F52&gt;0,IF(J52&gt;0.9,"🔴 OOM/Queue Full","🟡 Queue Overflow"),"✅ None")</f>
        <v>✅ None</v>
      </c>
    </row>
    <row r="53" customFormat="false" ht="18" hidden="false" customHeight="true" outlineLevel="0" collapsed="false">
      <c r="B53" s="49"/>
      <c r="C53" s="46"/>
      <c r="D53" s="50"/>
      <c r="E53" s="50"/>
      <c r="F53" s="50"/>
      <c r="G53" s="51" t="n">
        <f aca="false">IFERROR(F53/(E53+F53),0)</f>
        <v>0</v>
      </c>
      <c r="H53" s="50"/>
      <c r="I53" s="50"/>
      <c r="J53" s="52" t="n">
        <f aca="false">IFERROR(I53/H53,0)</f>
        <v>0</v>
      </c>
      <c r="K53" s="10" t="str">
        <f aca="false">IF(F53&gt;0,IF(J53&gt;0.9,"🔴 OOM/Queue Full","🟡 Queue Overflow"),"✅ None")</f>
        <v>✅ None</v>
      </c>
    </row>
    <row r="54" customFormat="false" ht="18" hidden="false" customHeight="true" outlineLevel="0" collapsed="false">
      <c r="B54" s="48"/>
      <c r="C54" s="46"/>
      <c r="D54" s="50"/>
      <c r="E54" s="50"/>
      <c r="F54" s="50"/>
      <c r="G54" s="51" t="n">
        <f aca="false">IFERROR(F54/(E54+F54),0)</f>
        <v>0</v>
      </c>
      <c r="H54" s="50"/>
      <c r="I54" s="50"/>
      <c r="J54" s="52" t="n">
        <f aca="false">IFERROR(I54/H54,0)</f>
        <v>0</v>
      </c>
      <c r="K54" s="16" t="str">
        <f aca="false">IF(F54&gt;0,IF(J54&gt;0.9,"🔴 OOM/Queue Full","🟡 Queue Overflow"),"✅ None")</f>
        <v>✅ None</v>
      </c>
    </row>
    <row r="55" customFormat="false" ht="18" hidden="false" customHeight="true" outlineLevel="0" collapsed="false">
      <c r="B55" s="49"/>
      <c r="C55" s="46"/>
      <c r="D55" s="50"/>
      <c r="E55" s="50"/>
      <c r="F55" s="50"/>
      <c r="G55" s="51" t="n">
        <f aca="false">IFERROR(F55/(E55+F55),0)</f>
        <v>0</v>
      </c>
      <c r="H55" s="50"/>
      <c r="I55" s="50"/>
      <c r="J55" s="52" t="n">
        <f aca="false">IFERROR(I55/H55,0)</f>
        <v>0</v>
      </c>
      <c r="K55" s="10" t="str">
        <f aca="false">IF(F55&gt;0,IF(J55&gt;0.9,"🔴 OOM/Queue Full","🟡 Queue Overflow"),"✅ None")</f>
        <v>✅ None</v>
      </c>
    </row>
    <row r="56" customFormat="false" ht="18" hidden="false" customHeight="true" outlineLevel="0" collapsed="false">
      <c r="B56" s="48"/>
      <c r="C56" s="46"/>
      <c r="D56" s="50"/>
      <c r="E56" s="50"/>
      <c r="F56" s="50"/>
      <c r="G56" s="51" t="n">
        <f aca="false">IFERROR(F56/(E56+F56),0)</f>
        <v>0</v>
      </c>
      <c r="H56" s="50"/>
      <c r="I56" s="50"/>
      <c r="J56" s="52" t="n">
        <f aca="false">IFERROR(I56/H56,0)</f>
        <v>0</v>
      </c>
      <c r="K56" s="16" t="str">
        <f aca="false">IF(F56&gt;0,IF(J56&gt;0.9,"🔴 OOM/Queue Full","🟡 Queue Overflow"),"✅ None")</f>
        <v>✅ None</v>
      </c>
    </row>
  </sheetData>
  <mergeCells count="3">
    <mergeCell ref="B1:K1"/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38"/>
    <col collapsed="false" customWidth="true" hidden="false" outlineLevel="0" max="6" min="6" style="0" width="3"/>
  </cols>
  <sheetData>
    <row r="1" customFormat="false" ht="31.5" hidden="false" customHeight="true" outlineLevel="0" collapsed="false">
      <c r="B1" s="39" t="s">
        <v>114</v>
      </c>
      <c r="C1" s="39"/>
      <c r="D1" s="39"/>
      <c r="E1" s="39"/>
    </row>
    <row r="3" customFormat="false" ht="21.75" hidden="false" customHeight="true" outlineLevel="0" collapsed="false">
      <c r="B3" s="3" t="s">
        <v>115</v>
      </c>
      <c r="C3" s="3"/>
      <c r="D3" s="3"/>
      <c r="E3" s="3"/>
    </row>
    <row r="4" customFormat="false" ht="19.5" hidden="false" customHeight="true" outlineLevel="0" collapsed="false">
      <c r="B4" s="53" t="s">
        <v>116</v>
      </c>
      <c r="C4" s="54" t="n">
        <f aca="false">'🖥 DC1 Inventory'!C4</f>
        <v>3</v>
      </c>
      <c r="D4" s="45" t="s">
        <v>117</v>
      </c>
    </row>
    <row r="5" customFormat="false" ht="19.5" hidden="false" customHeight="true" outlineLevel="0" collapsed="false">
      <c r="B5" s="53" t="s">
        <v>118</v>
      </c>
      <c r="C5" s="52" t="n">
        <f aca="false">'🖥 DC1 Inventory'!H4</f>
        <v>0.656666666666667</v>
      </c>
      <c r="D5" s="45" t="s">
        <v>119</v>
      </c>
    </row>
    <row r="6" customFormat="false" ht="19.5" hidden="false" customHeight="true" outlineLevel="0" collapsed="false">
      <c r="B6" s="53" t="s">
        <v>120</v>
      </c>
      <c r="C6" s="52" t="n">
        <f aca="false">'🖥 DC1 Inventory'!I4</f>
        <v>0.713333333333333</v>
      </c>
      <c r="D6" s="45" t="s">
        <v>119</v>
      </c>
    </row>
    <row r="7" customFormat="false" ht="19.5" hidden="false" customHeight="true" outlineLevel="0" collapsed="false">
      <c r="B7" s="53" t="s">
        <v>121</v>
      </c>
      <c r="C7" s="54" t="n">
        <f aca="false">'🖥 DC1 Inventory'!D4</f>
        <v>24</v>
      </c>
      <c r="D7" s="45" t="s">
        <v>84</v>
      </c>
    </row>
    <row r="8" customFormat="false" ht="19.5" hidden="false" customHeight="true" outlineLevel="0" collapsed="false">
      <c r="B8" s="53" t="s">
        <v>122</v>
      </c>
      <c r="C8" s="54" t="n">
        <f aca="false">'🖥 DC1 Inventory'!E4</f>
        <v>96</v>
      </c>
      <c r="D8" s="45" t="s">
        <v>123</v>
      </c>
    </row>
    <row r="9" customFormat="false" ht="19.5" hidden="false" customHeight="true" outlineLevel="0" collapsed="false">
      <c r="B9" s="53" t="s">
        <v>124</v>
      </c>
      <c r="C9" s="54" t="n">
        <f aca="false">'📡 DC1 Metrics'!C4</f>
        <v>124200</v>
      </c>
      <c r="D9" s="45" t="s">
        <v>125</v>
      </c>
    </row>
    <row r="10" customFormat="false" ht="19.5" hidden="false" customHeight="true" outlineLevel="0" collapsed="false">
      <c r="B10" s="53" t="s">
        <v>126</v>
      </c>
      <c r="C10" s="54" t="n">
        <f aca="false">'📡 DC1 Metrics'!D4</f>
        <v>2270</v>
      </c>
      <c r="D10" s="45" t="s">
        <v>127</v>
      </c>
    </row>
    <row r="11" customFormat="false" ht="19.5" hidden="false" customHeight="true" outlineLevel="0" collapsed="false">
      <c r="B11" s="53" t="s">
        <v>128</v>
      </c>
      <c r="C11" s="51" t="n">
        <f aca="false">'📡 DC1 Metrics'!E4</f>
        <v>0.0179489206926544</v>
      </c>
      <c r="D11" s="45" t="s">
        <v>119</v>
      </c>
    </row>
    <row r="12" customFormat="false" ht="19.5" hidden="false" customHeight="true" outlineLevel="0" collapsed="false">
      <c r="B12" s="53" t="s">
        <v>129</v>
      </c>
      <c r="C12" s="55" t="n">
        <f aca="false">'📡 DC1 Metrics'!G4</f>
        <v>3</v>
      </c>
      <c r="D12" s="45" t="s">
        <v>117</v>
      </c>
    </row>
    <row r="14" customFormat="false" ht="21.75" hidden="false" customHeight="true" outlineLevel="0" collapsed="false">
      <c r="B14" s="3" t="s">
        <v>130</v>
      </c>
      <c r="C14" s="3"/>
      <c r="D14" s="3"/>
      <c r="E14" s="3"/>
    </row>
    <row r="15" customFormat="false" ht="19.5" hidden="false" customHeight="true" outlineLevel="0" collapsed="false">
      <c r="B15" s="53" t="s">
        <v>131</v>
      </c>
      <c r="C15" s="44" t="n">
        <v>0.65</v>
      </c>
      <c r="D15" s="45" t="s">
        <v>119</v>
      </c>
      <c r="E15" s="45" t="s">
        <v>132</v>
      </c>
    </row>
    <row r="16" customFormat="false" ht="19.5" hidden="false" customHeight="true" outlineLevel="0" collapsed="false">
      <c r="B16" s="53" t="s">
        <v>133</v>
      </c>
      <c r="C16" s="44" t="n">
        <v>0.7</v>
      </c>
      <c r="D16" s="45" t="s">
        <v>119</v>
      </c>
      <c r="E16" s="45" t="s">
        <v>134</v>
      </c>
    </row>
    <row r="17" customFormat="false" ht="19.5" hidden="false" customHeight="true" outlineLevel="0" collapsed="false">
      <c r="B17" s="53" t="s">
        <v>135</v>
      </c>
      <c r="C17" s="44" t="n">
        <v>0.3</v>
      </c>
      <c r="D17" s="45" t="s">
        <v>119</v>
      </c>
      <c r="E17" s="45" t="s">
        <v>136</v>
      </c>
    </row>
    <row r="18" customFormat="false" ht="19.5" hidden="false" customHeight="true" outlineLevel="0" collapsed="false">
      <c r="B18" s="53" t="s">
        <v>137</v>
      </c>
      <c r="C18" s="50" t="n">
        <v>15000</v>
      </c>
      <c r="D18" s="45" t="s">
        <v>125</v>
      </c>
      <c r="E18" s="45" t="s">
        <v>138</v>
      </c>
    </row>
    <row r="19" customFormat="false" ht="19.5" hidden="false" customHeight="true" outlineLevel="0" collapsed="false">
      <c r="B19" s="53" t="s">
        <v>139</v>
      </c>
      <c r="C19" s="56" t="n">
        <v>1.2</v>
      </c>
      <c r="D19" s="45" t="s">
        <v>140</v>
      </c>
      <c r="E19" s="45" t="s">
        <v>141</v>
      </c>
    </row>
    <row r="20" customFormat="false" ht="19.5" hidden="false" customHeight="true" outlineLevel="0" collapsed="false">
      <c r="B20" s="53" t="s">
        <v>142</v>
      </c>
      <c r="C20" s="50" t="n">
        <v>8</v>
      </c>
      <c r="D20" s="45" t="s">
        <v>84</v>
      </c>
      <c r="E20" s="45" t="s">
        <v>143</v>
      </c>
    </row>
    <row r="21" customFormat="false" ht="19.5" hidden="false" customHeight="true" outlineLevel="0" collapsed="false">
      <c r="B21" s="53" t="s">
        <v>144</v>
      </c>
      <c r="C21" s="50" t="n">
        <v>32</v>
      </c>
      <c r="D21" s="45" t="s">
        <v>123</v>
      </c>
      <c r="E21" s="45" t="s">
        <v>143</v>
      </c>
    </row>
    <row r="23" customFormat="false" ht="21.75" hidden="false" customHeight="true" outlineLevel="0" collapsed="false">
      <c r="B23" s="3" t="s">
        <v>145</v>
      </c>
      <c r="C23" s="3"/>
      <c r="D23" s="3"/>
      <c r="E23" s="3"/>
    </row>
    <row r="24" customFormat="false" ht="19.5" hidden="false" customHeight="true" outlineLevel="0" collapsed="false">
      <c r="B24" s="57" t="s">
        <v>146</v>
      </c>
      <c r="C24" s="58" t="n">
        <f aca="false">C10*(1+C17)</f>
        <v>2951</v>
      </c>
      <c r="D24" s="36"/>
      <c r="E24" s="36" t="s">
        <v>147</v>
      </c>
    </row>
    <row r="25" customFormat="false" ht="19.5" hidden="false" customHeight="true" outlineLevel="0" collapsed="false">
      <c r="B25" s="57" t="s">
        <v>148</v>
      </c>
      <c r="C25" s="59" t="n">
        <f aca="false">CEILING(C24/C18,1)</f>
        <v>1</v>
      </c>
      <c r="D25" s="36"/>
      <c r="E25" s="36" t="s">
        <v>149</v>
      </c>
    </row>
    <row r="26" customFormat="false" ht="19.5" hidden="false" customHeight="true" outlineLevel="0" collapsed="false">
      <c r="B26" s="57" t="s">
        <v>150</v>
      </c>
      <c r="C26" s="59" t="n">
        <f aca="false">CEILING(C4*(C5/C15),1)</f>
        <v>4</v>
      </c>
      <c r="D26" s="36"/>
      <c r="E26" s="36" t="s">
        <v>151</v>
      </c>
    </row>
    <row r="27" customFormat="false" ht="19.5" hidden="false" customHeight="true" outlineLevel="0" collapsed="false">
      <c r="B27" s="57" t="s">
        <v>152</v>
      </c>
      <c r="C27" s="59" t="n">
        <f aca="false">CEILING(C4*(C6/C16),1)</f>
        <v>4</v>
      </c>
      <c r="D27" s="36"/>
      <c r="E27" s="36" t="s">
        <v>153</v>
      </c>
    </row>
    <row r="28" customFormat="false" ht="19.5" hidden="false" customHeight="true" outlineLevel="0" collapsed="false">
      <c r="B28" s="57" t="s">
        <v>154</v>
      </c>
      <c r="C28" s="59" t="n">
        <f aca="false">MAX(C25,C26,C27)</f>
        <v>4</v>
      </c>
      <c r="D28" s="36"/>
      <c r="E28" s="36" t="s">
        <v>155</v>
      </c>
    </row>
    <row r="29" customFormat="false" ht="19.5" hidden="false" customHeight="true" outlineLevel="0" collapsed="false">
      <c r="B29" s="57" t="s">
        <v>156</v>
      </c>
      <c r="C29" s="59" t="n">
        <f aca="false">CEILING(C28*C19,1)</f>
        <v>5</v>
      </c>
      <c r="D29" s="36"/>
      <c r="E29" s="36" t="s">
        <v>157</v>
      </c>
    </row>
    <row r="30" customFormat="false" ht="19.5" hidden="false" customHeight="true" outlineLevel="0" collapsed="false">
      <c r="B30" s="60" t="s">
        <v>158</v>
      </c>
      <c r="C30" s="61" t="n">
        <f aca="false">MAX(0,C29-C4)</f>
        <v>2</v>
      </c>
      <c r="D30" s="60" t="s">
        <v>159</v>
      </c>
      <c r="E30" s="62" t="s">
        <v>160</v>
      </c>
    </row>
    <row r="31" customFormat="false" ht="19.5" hidden="false" customHeight="true" outlineLevel="0" collapsed="false">
      <c r="B31" s="57" t="s">
        <v>161</v>
      </c>
      <c r="C31" s="59" t="n">
        <f aca="false">C4+C30</f>
        <v>5</v>
      </c>
      <c r="D31" s="36"/>
      <c r="E31" s="36" t="s">
        <v>162</v>
      </c>
    </row>
    <row r="32" customFormat="false" ht="19.5" hidden="false" customHeight="true" outlineLevel="0" collapsed="false">
      <c r="B32" s="57" t="s">
        <v>163</v>
      </c>
      <c r="C32" s="58" t="n">
        <f aca="false">C30*C20</f>
        <v>16</v>
      </c>
      <c r="D32" s="36"/>
      <c r="E32" s="36" t="s">
        <v>164</v>
      </c>
    </row>
    <row r="33" customFormat="false" ht="19.5" hidden="false" customHeight="true" outlineLevel="0" collapsed="false">
      <c r="B33" s="57" t="s">
        <v>165</v>
      </c>
      <c r="C33" s="58" t="n">
        <f aca="false">C30*C21</f>
        <v>64</v>
      </c>
      <c r="D33" s="36"/>
      <c r="E33" s="36" t="s">
        <v>166</v>
      </c>
    </row>
    <row r="35" customFormat="false" ht="21.75" hidden="false" customHeight="true" outlineLevel="0" collapsed="false">
      <c r="B35" s="3" t="s">
        <v>167</v>
      </c>
      <c r="C35" s="3"/>
      <c r="D35" s="3"/>
      <c r="E35" s="3"/>
    </row>
    <row r="36" customFormat="false" ht="24" hidden="false" customHeight="true" outlineLevel="0" collapsed="false">
      <c r="B36" s="63" t="s">
        <v>168</v>
      </c>
      <c r="C36" s="64" t="str">
        <f aca="false">IF(C30&gt;0,"⚠️  ADD "&amp;C30&amp;" SERVER(S) to DC1-US-East to prevent data loss","✅  Current DC1-US-East fleet is sufficient")</f>
        <v>⚠️  ADD 2 SERVER(S) to DC1-US-East to prevent data loss</v>
      </c>
      <c r="D36" s="64"/>
      <c r="E36" s="64"/>
    </row>
    <row r="37" customFormat="false" ht="24" hidden="false" customHeight="true" outlineLevel="0" collapsed="false">
      <c r="B37" s="63" t="s">
        <v>169</v>
      </c>
      <c r="C37" s="64" t="str">
        <f aca="false">IF(AND(C26&gt;=C25,C26&gt;=C27),"Memory is bottleneck",IF(AND(C27&gt;=C25,C27&gt;=C26),"Span throughput is bottleneck","CPU is bottleneck"))</f>
        <v>Memory is bottleneck</v>
      </c>
      <c r="D37" s="64"/>
      <c r="E37" s="64"/>
    </row>
    <row r="38" customFormat="false" ht="24" hidden="false" customHeight="true" outlineLevel="0" collapsed="false">
      <c r="B38" s="63" t="s">
        <v>21</v>
      </c>
      <c r="C38" s="64" t="str">
        <f aca="false">IF(C11&gt;0,"🔴 IMMEDIATE – Drops actively occurring",IF(C5&gt;0.8,"🟡 HIGH – CPU critical",IF(C6&gt;0.85,"🟡 HIGH – Memory critical","🟢 PLANNED – Scale before growth")))</f>
        <v>🔴 IMMEDIATE – Drops actively occurring</v>
      </c>
      <c r="D38" s="64"/>
      <c r="E38" s="64"/>
    </row>
    <row r="39" customFormat="false" ht="24" hidden="false" customHeight="true" outlineLevel="0" collapsed="false">
      <c r="B39" s="63" t="s">
        <v>170</v>
      </c>
      <c r="C39" s="64" t="str">
        <f aca="false">IF(C11&gt;0,"Scale within 1-2 weeks",IF(C30&gt;0,"Plan scale-out within 1-3 months","No action needed now"))</f>
        <v>Scale within 1-2 weeks</v>
      </c>
      <c r="D39" s="64"/>
      <c r="E39" s="64"/>
    </row>
  </sheetData>
  <mergeCells count="9">
    <mergeCell ref="B1:E1"/>
    <mergeCell ref="B3:E3"/>
    <mergeCell ref="B14:E14"/>
    <mergeCell ref="B23:E23"/>
    <mergeCell ref="B35:E35"/>
    <mergeCell ref="C36:E36"/>
    <mergeCell ref="C37:E37"/>
    <mergeCell ref="C38:E38"/>
    <mergeCell ref="C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1" min="10" style="0" width="14"/>
    <col collapsed="false" customWidth="true" hidden="false" outlineLevel="0" max="12" min="12" style="0" width="20"/>
  </cols>
  <sheetData>
    <row r="1" customFormat="false" ht="31.5" hidden="false" customHeight="true" outlineLevel="0" collapsed="false">
      <c r="B1" s="39" t="s">
        <v>171</v>
      </c>
      <c r="C1" s="39"/>
      <c r="D1" s="39"/>
      <c r="E1" s="39"/>
      <c r="F1" s="39"/>
      <c r="G1" s="39"/>
      <c r="H1" s="39"/>
      <c r="I1" s="39"/>
      <c r="J1" s="39"/>
      <c r="K1" s="39"/>
      <c r="L1" s="39"/>
    </row>
    <row r="2" customFormat="false" ht="15" hidden="false" customHeight="true" outlineLevel="0" collapsed="false">
      <c r="B2" s="40" t="s">
        <v>75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customFormat="false" ht="21.75" hidden="false" customHeight="true" outlineLevel="0" collapsed="false">
      <c r="B3" s="65" t="s">
        <v>172</v>
      </c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9.5" hidden="false" customHeight="true" outlineLevel="0" collapsed="false">
      <c r="B4" s="41" t="s">
        <v>77</v>
      </c>
      <c r="C4" s="42" t="n">
        <f aca="false">COUNTA(B7:B56)</f>
        <v>2</v>
      </c>
      <c r="D4" s="42" t="n">
        <f aca="false">SUM(D7:D56)</f>
        <v>32</v>
      </c>
      <c r="E4" s="42" t="n">
        <f aca="false">SUM(E7:E56)</f>
        <v>128</v>
      </c>
      <c r="H4" s="21" t="n">
        <f aca="false">IFERROR(AVERAGEIF(H7:H56,"&gt;0"),0)</f>
        <v>0.8</v>
      </c>
      <c r="I4" s="21" t="n">
        <f aca="false">IFERROR(AVERAGEIF(I7:I56,"&gt;0"),0)</f>
        <v>0.835</v>
      </c>
      <c r="J4" s="42" t="n">
        <f aca="false">COUNTIF(H7:H56,"&gt;"&amp;H5)</f>
        <v>2</v>
      </c>
      <c r="K4" s="42" t="n">
        <f aca="false">COUNTIF(I7:I56,"&gt;"&amp;I5)</f>
        <v>2</v>
      </c>
    </row>
    <row r="5" customFormat="false" ht="18" hidden="false" customHeight="true" outlineLevel="0" collapsed="false">
      <c r="B5" s="43" t="s">
        <v>78</v>
      </c>
      <c r="C5" s="43"/>
      <c r="D5" s="43"/>
      <c r="E5" s="43"/>
      <c r="F5" s="43"/>
      <c r="G5" s="43"/>
      <c r="H5" s="44" t="n">
        <v>0.7</v>
      </c>
      <c r="I5" s="44" t="n">
        <v>0.75</v>
      </c>
      <c r="J5" s="45" t="s">
        <v>79</v>
      </c>
      <c r="K5" s="45" t="s">
        <v>80</v>
      </c>
      <c r="L5" s="45" t="s">
        <v>81</v>
      </c>
    </row>
    <row r="6" customFormat="false" ht="27.75" hidden="false" customHeight="true" outlineLevel="0" collapsed="false">
      <c r="B6" s="66" t="s">
        <v>82</v>
      </c>
      <c r="C6" s="66" t="s">
        <v>83</v>
      </c>
      <c r="D6" s="66" t="s">
        <v>84</v>
      </c>
      <c r="E6" s="66" t="s">
        <v>85</v>
      </c>
      <c r="F6" s="66" t="s">
        <v>86</v>
      </c>
      <c r="G6" s="66" t="s">
        <v>87</v>
      </c>
      <c r="H6" s="66" t="s">
        <v>88</v>
      </c>
      <c r="I6" s="66" t="s">
        <v>89</v>
      </c>
      <c r="J6" s="66" t="s">
        <v>90</v>
      </c>
      <c r="K6" s="66" t="s">
        <v>91</v>
      </c>
      <c r="L6" s="66" t="s">
        <v>92</v>
      </c>
    </row>
    <row r="7" customFormat="false" ht="18" hidden="false" customHeight="true" outlineLevel="0" collapsed="false">
      <c r="B7" s="25" t="s">
        <v>173</v>
      </c>
      <c r="C7" s="25" t="s">
        <v>94</v>
      </c>
      <c r="D7" s="46" t="n">
        <v>16</v>
      </c>
      <c r="E7" s="46" t="n">
        <v>64</v>
      </c>
      <c r="F7" s="25" t="s">
        <v>95</v>
      </c>
      <c r="G7" s="25" t="s">
        <v>174</v>
      </c>
      <c r="H7" s="47" t="n">
        <v>0.82</v>
      </c>
      <c r="I7" s="47" t="n">
        <v>0.88</v>
      </c>
      <c r="J7" s="10" t="str">
        <f aca="false">IF(H7="","",IF(H7&gt;$H$5,"🔴 Over Limit",IF(H7&gt;$H$5*0.9,"🟡 Warning","✅ OK")))</f>
        <v>🔴 Over Limit</v>
      </c>
      <c r="K7" s="10" t="str">
        <f aca="false">IF(I7="","",IF(I7&gt;$I$5,"🔴 Over Limit",IF(I7&gt;$I$5*0.9,"🟡 Warning","✅ OK")))</f>
        <v>🔴 Over Limit</v>
      </c>
      <c r="L7" s="25" t="s">
        <v>95</v>
      </c>
    </row>
    <row r="8" customFormat="false" ht="18" hidden="false" customHeight="true" outlineLevel="0" collapsed="false">
      <c r="B8" s="28" t="s">
        <v>175</v>
      </c>
      <c r="C8" s="28" t="s">
        <v>94</v>
      </c>
      <c r="D8" s="46" t="n">
        <v>16</v>
      </c>
      <c r="E8" s="46" t="n">
        <v>64</v>
      </c>
      <c r="F8" s="28" t="s">
        <v>95</v>
      </c>
      <c r="G8" s="28" t="s">
        <v>174</v>
      </c>
      <c r="H8" s="47" t="n">
        <v>0.78</v>
      </c>
      <c r="I8" s="47" t="n">
        <v>0.79</v>
      </c>
      <c r="J8" s="16" t="str">
        <f aca="false">IF(H8="","",IF(H8&gt;$H$5,"🔴 Over Limit",IF(H8&gt;$H$5*0.9,"🟡 Warning","✅ OK")))</f>
        <v>🔴 Over Limit</v>
      </c>
      <c r="K8" s="16" t="str">
        <f aca="false">IF(I8="","",IF(I8&gt;$I$5,"🔴 Over Limit",IF(I8&gt;$I$5*0.9,"🟡 Warning","✅ OK")))</f>
        <v>🔴 Over Limit</v>
      </c>
      <c r="L8" s="28" t="s">
        <v>95</v>
      </c>
    </row>
    <row r="9" customFormat="false" ht="18" hidden="false" customHeight="true" outlineLevel="0" collapsed="false">
      <c r="B9" s="49"/>
      <c r="C9" s="49"/>
      <c r="D9" s="46"/>
      <c r="E9" s="46"/>
      <c r="F9" s="49"/>
      <c r="G9" s="49"/>
      <c r="H9" s="47"/>
      <c r="I9" s="47"/>
      <c r="J9" s="10" t="str">
        <f aca="false">IF(H9="","",IF(H9&gt;$H$5,"🔴 Over Limit",IF(H9&gt;$H$5*0.9,"🟡 Warning","✅ OK")))</f>
        <v/>
      </c>
      <c r="K9" s="10" t="str">
        <f aca="false">IF(I9="","",IF(I9&gt;$I$5,"🔴 Over Limit",IF(I9&gt;$I$5*0.9,"🟡 Warning","✅ OK")))</f>
        <v/>
      </c>
      <c r="L9" s="49"/>
    </row>
    <row r="10" customFormat="false" ht="18" hidden="false" customHeight="true" outlineLevel="0" collapsed="false">
      <c r="B10" s="48"/>
      <c r="C10" s="48"/>
      <c r="D10" s="46"/>
      <c r="E10" s="46"/>
      <c r="F10" s="48"/>
      <c r="G10" s="48"/>
      <c r="H10" s="47"/>
      <c r="I10" s="47"/>
      <c r="J10" s="16" t="str">
        <f aca="false">IF(H10="","",IF(H10&gt;$H$5,"🔴 Over Limit",IF(H10&gt;$H$5*0.9,"🟡 Warning","✅ OK")))</f>
        <v/>
      </c>
      <c r="K10" s="16" t="str">
        <f aca="false">IF(I10="","",IF(I10&gt;$I$5,"🔴 Over Limit",IF(I10&gt;$I$5*0.9,"🟡 Warning","✅ OK")))</f>
        <v/>
      </c>
      <c r="L10" s="48"/>
    </row>
    <row r="11" customFormat="false" ht="18" hidden="false" customHeight="true" outlineLevel="0" collapsed="false">
      <c r="B11" s="49"/>
      <c r="C11" s="49"/>
      <c r="D11" s="46"/>
      <c r="E11" s="46"/>
      <c r="F11" s="49"/>
      <c r="G11" s="49"/>
      <c r="H11" s="47"/>
      <c r="I11" s="47"/>
      <c r="J11" s="10" t="str">
        <f aca="false">IF(H11="","",IF(H11&gt;$H$5,"🔴 Over Limit",IF(H11&gt;$H$5*0.9,"🟡 Warning","✅ OK")))</f>
        <v/>
      </c>
      <c r="K11" s="10" t="str">
        <f aca="false">IF(I11="","",IF(I11&gt;$I$5,"🔴 Over Limit",IF(I11&gt;$I$5*0.9,"🟡 Warning","✅ OK")))</f>
        <v/>
      </c>
      <c r="L11" s="49"/>
    </row>
    <row r="12" customFormat="false" ht="18" hidden="false" customHeight="true" outlineLevel="0" collapsed="false">
      <c r="B12" s="48"/>
      <c r="C12" s="48"/>
      <c r="D12" s="46"/>
      <c r="E12" s="46"/>
      <c r="F12" s="48"/>
      <c r="G12" s="48"/>
      <c r="H12" s="47"/>
      <c r="I12" s="47"/>
      <c r="J12" s="16" t="str">
        <f aca="false">IF(H12="","",IF(H12&gt;$H$5,"🔴 Over Limit",IF(H12&gt;$H$5*0.9,"🟡 Warning","✅ OK")))</f>
        <v/>
      </c>
      <c r="K12" s="16" t="str">
        <f aca="false">IF(I12="","",IF(I12&gt;$I$5,"🔴 Over Limit",IF(I12&gt;$I$5*0.9,"🟡 Warning","✅ OK")))</f>
        <v/>
      </c>
      <c r="L12" s="48"/>
    </row>
    <row r="13" customFormat="false" ht="18" hidden="false" customHeight="true" outlineLevel="0" collapsed="false">
      <c r="B13" s="49"/>
      <c r="C13" s="49"/>
      <c r="D13" s="46"/>
      <c r="E13" s="46"/>
      <c r="F13" s="49"/>
      <c r="G13" s="49"/>
      <c r="H13" s="47"/>
      <c r="I13" s="47"/>
      <c r="J13" s="10" t="str">
        <f aca="false">IF(H13="","",IF(H13&gt;$H$5,"🔴 Over Limit",IF(H13&gt;$H$5*0.9,"🟡 Warning","✅ OK")))</f>
        <v/>
      </c>
      <c r="K13" s="10" t="str">
        <f aca="false">IF(I13="","",IF(I13&gt;$I$5,"🔴 Over Limit",IF(I13&gt;$I$5*0.9,"🟡 Warning","✅ OK")))</f>
        <v/>
      </c>
      <c r="L13" s="49"/>
    </row>
    <row r="14" customFormat="false" ht="18" hidden="false" customHeight="true" outlineLevel="0" collapsed="false">
      <c r="B14" s="48"/>
      <c r="C14" s="48"/>
      <c r="D14" s="46"/>
      <c r="E14" s="46"/>
      <c r="F14" s="48"/>
      <c r="G14" s="48"/>
      <c r="H14" s="47"/>
      <c r="I14" s="47"/>
      <c r="J14" s="16" t="str">
        <f aca="false">IF(H14="","",IF(H14&gt;$H$5,"🔴 Over Limit",IF(H14&gt;$H$5*0.9,"🟡 Warning","✅ OK")))</f>
        <v/>
      </c>
      <c r="K14" s="16" t="str">
        <f aca="false">IF(I14="","",IF(I14&gt;$I$5,"🔴 Over Limit",IF(I14&gt;$I$5*0.9,"🟡 Warning","✅ OK")))</f>
        <v/>
      </c>
      <c r="L14" s="48"/>
    </row>
    <row r="15" customFormat="false" ht="18" hidden="false" customHeight="true" outlineLevel="0" collapsed="false">
      <c r="B15" s="49"/>
      <c r="C15" s="49"/>
      <c r="D15" s="46"/>
      <c r="E15" s="46"/>
      <c r="F15" s="49"/>
      <c r="G15" s="49"/>
      <c r="H15" s="47"/>
      <c r="I15" s="47"/>
      <c r="J15" s="10" t="str">
        <f aca="false">IF(H15="","",IF(H15&gt;$H$5,"🔴 Over Limit",IF(H15&gt;$H$5*0.9,"🟡 Warning","✅ OK")))</f>
        <v/>
      </c>
      <c r="K15" s="10" t="str">
        <f aca="false">IF(I15="","",IF(I15&gt;$I$5,"🔴 Over Limit",IF(I15&gt;$I$5*0.9,"🟡 Warning","✅ OK")))</f>
        <v/>
      </c>
      <c r="L15" s="49"/>
    </row>
    <row r="16" customFormat="false" ht="18" hidden="false" customHeight="true" outlineLevel="0" collapsed="false">
      <c r="B16" s="48"/>
      <c r="C16" s="48"/>
      <c r="D16" s="46"/>
      <c r="E16" s="46"/>
      <c r="F16" s="48"/>
      <c r="G16" s="48"/>
      <c r="H16" s="47"/>
      <c r="I16" s="47"/>
      <c r="J16" s="16" t="str">
        <f aca="false">IF(H16="","",IF(H16&gt;$H$5,"🔴 Over Limit",IF(H16&gt;$H$5*0.9,"🟡 Warning","✅ OK")))</f>
        <v/>
      </c>
      <c r="K16" s="16" t="str">
        <f aca="false">IF(I16="","",IF(I16&gt;$I$5,"🔴 Over Limit",IF(I16&gt;$I$5*0.9,"🟡 Warning","✅ OK")))</f>
        <v/>
      </c>
      <c r="L16" s="48"/>
    </row>
    <row r="17" customFormat="false" ht="18" hidden="false" customHeight="true" outlineLevel="0" collapsed="false">
      <c r="B17" s="49"/>
      <c r="C17" s="49"/>
      <c r="D17" s="46"/>
      <c r="E17" s="46"/>
      <c r="F17" s="49"/>
      <c r="G17" s="49"/>
      <c r="H17" s="47"/>
      <c r="I17" s="47"/>
      <c r="J17" s="10" t="str">
        <f aca="false">IF(H17="","",IF(H17&gt;$H$5,"🔴 Over Limit",IF(H17&gt;$H$5*0.9,"🟡 Warning","✅ OK")))</f>
        <v/>
      </c>
      <c r="K17" s="10" t="str">
        <f aca="false">IF(I17="","",IF(I17&gt;$I$5,"🔴 Over Limit",IF(I17&gt;$I$5*0.9,"🟡 Warning","✅ OK")))</f>
        <v/>
      </c>
      <c r="L17" s="49"/>
    </row>
    <row r="18" customFormat="false" ht="18" hidden="false" customHeight="true" outlineLevel="0" collapsed="false">
      <c r="B18" s="48"/>
      <c r="C18" s="48"/>
      <c r="D18" s="46"/>
      <c r="E18" s="46"/>
      <c r="F18" s="48"/>
      <c r="G18" s="48"/>
      <c r="H18" s="47"/>
      <c r="I18" s="47"/>
      <c r="J18" s="16" t="str">
        <f aca="false">IF(H18="","",IF(H18&gt;$H$5,"🔴 Over Limit",IF(H18&gt;$H$5*0.9,"🟡 Warning","✅ OK")))</f>
        <v/>
      </c>
      <c r="K18" s="16" t="str">
        <f aca="false">IF(I18="","",IF(I18&gt;$I$5,"🔴 Over Limit",IF(I18&gt;$I$5*0.9,"🟡 Warning","✅ OK")))</f>
        <v/>
      </c>
      <c r="L18" s="48"/>
    </row>
    <row r="19" customFormat="false" ht="18" hidden="false" customHeight="true" outlineLevel="0" collapsed="false">
      <c r="B19" s="49"/>
      <c r="C19" s="49"/>
      <c r="D19" s="46"/>
      <c r="E19" s="46"/>
      <c r="F19" s="49"/>
      <c r="G19" s="49"/>
      <c r="H19" s="47"/>
      <c r="I19" s="47"/>
      <c r="J19" s="10" t="str">
        <f aca="false">IF(H19="","",IF(H19&gt;$H$5,"🔴 Over Limit",IF(H19&gt;$H$5*0.9,"🟡 Warning","✅ OK")))</f>
        <v/>
      </c>
      <c r="K19" s="10" t="str">
        <f aca="false">IF(I19="","",IF(I19&gt;$I$5,"🔴 Over Limit",IF(I19&gt;$I$5*0.9,"🟡 Warning","✅ OK")))</f>
        <v/>
      </c>
      <c r="L19" s="49"/>
    </row>
    <row r="20" customFormat="false" ht="18" hidden="false" customHeight="true" outlineLevel="0" collapsed="false">
      <c r="B20" s="48"/>
      <c r="C20" s="48"/>
      <c r="D20" s="46"/>
      <c r="E20" s="46"/>
      <c r="F20" s="48"/>
      <c r="G20" s="48"/>
      <c r="H20" s="47"/>
      <c r="I20" s="47"/>
      <c r="J20" s="16" t="str">
        <f aca="false">IF(H20="","",IF(H20&gt;$H$5,"🔴 Over Limit",IF(H20&gt;$H$5*0.9,"🟡 Warning","✅ OK")))</f>
        <v/>
      </c>
      <c r="K20" s="16" t="str">
        <f aca="false">IF(I20="","",IF(I20&gt;$I$5,"🔴 Over Limit",IF(I20&gt;$I$5*0.9,"🟡 Warning","✅ OK")))</f>
        <v/>
      </c>
      <c r="L20" s="48"/>
    </row>
    <row r="21" customFormat="false" ht="18" hidden="false" customHeight="true" outlineLevel="0" collapsed="false">
      <c r="B21" s="49"/>
      <c r="C21" s="49"/>
      <c r="D21" s="46"/>
      <c r="E21" s="46"/>
      <c r="F21" s="49"/>
      <c r="G21" s="49"/>
      <c r="H21" s="47"/>
      <c r="I21" s="47"/>
      <c r="J21" s="10" t="str">
        <f aca="false">IF(H21="","",IF(H21&gt;$H$5,"🔴 Over Limit",IF(H21&gt;$H$5*0.9,"🟡 Warning","✅ OK")))</f>
        <v/>
      </c>
      <c r="K21" s="10" t="str">
        <f aca="false">IF(I21="","",IF(I21&gt;$I$5,"🔴 Over Limit",IF(I21&gt;$I$5*0.9,"🟡 Warning","✅ OK")))</f>
        <v/>
      </c>
      <c r="L21" s="49"/>
    </row>
    <row r="22" customFormat="false" ht="18" hidden="false" customHeight="true" outlineLevel="0" collapsed="false">
      <c r="B22" s="48"/>
      <c r="C22" s="48"/>
      <c r="D22" s="46"/>
      <c r="E22" s="46"/>
      <c r="F22" s="48"/>
      <c r="G22" s="48"/>
      <c r="H22" s="47"/>
      <c r="I22" s="47"/>
      <c r="J22" s="16" t="str">
        <f aca="false">IF(H22="","",IF(H22&gt;$H$5,"🔴 Over Limit",IF(H22&gt;$H$5*0.9,"🟡 Warning","✅ OK")))</f>
        <v/>
      </c>
      <c r="K22" s="16" t="str">
        <f aca="false">IF(I22="","",IF(I22&gt;$I$5,"🔴 Over Limit",IF(I22&gt;$I$5*0.9,"🟡 Warning","✅ OK")))</f>
        <v/>
      </c>
      <c r="L22" s="48"/>
    </row>
    <row r="23" customFormat="false" ht="18" hidden="false" customHeight="true" outlineLevel="0" collapsed="false">
      <c r="B23" s="49"/>
      <c r="C23" s="49"/>
      <c r="D23" s="46"/>
      <c r="E23" s="46"/>
      <c r="F23" s="49"/>
      <c r="G23" s="49"/>
      <c r="H23" s="47"/>
      <c r="I23" s="47"/>
      <c r="J23" s="10" t="str">
        <f aca="false">IF(H23="","",IF(H23&gt;$H$5,"🔴 Over Limit",IF(H23&gt;$H$5*0.9,"🟡 Warning","✅ OK")))</f>
        <v/>
      </c>
      <c r="K23" s="10" t="str">
        <f aca="false">IF(I23="","",IF(I23&gt;$I$5,"🔴 Over Limit",IF(I23&gt;$I$5*0.9,"🟡 Warning","✅ OK")))</f>
        <v/>
      </c>
      <c r="L23" s="49"/>
    </row>
    <row r="24" customFormat="false" ht="18" hidden="false" customHeight="true" outlineLevel="0" collapsed="false">
      <c r="B24" s="48"/>
      <c r="C24" s="48"/>
      <c r="D24" s="46"/>
      <c r="E24" s="46"/>
      <c r="F24" s="48"/>
      <c r="G24" s="48"/>
      <c r="H24" s="47"/>
      <c r="I24" s="47"/>
      <c r="J24" s="16" t="str">
        <f aca="false">IF(H24="","",IF(H24&gt;$H$5,"🔴 Over Limit",IF(H24&gt;$H$5*0.9,"🟡 Warning","✅ OK")))</f>
        <v/>
      </c>
      <c r="K24" s="16" t="str">
        <f aca="false">IF(I24="","",IF(I24&gt;$I$5,"🔴 Over Limit",IF(I24&gt;$I$5*0.9,"🟡 Warning","✅ OK")))</f>
        <v/>
      </c>
      <c r="L24" s="48"/>
    </row>
    <row r="25" customFormat="false" ht="18" hidden="false" customHeight="true" outlineLevel="0" collapsed="false">
      <c r="B25" s="49"/>
      <c r="C25" s="49"/>
      <c r="D25" s="46"/>
      <c r="E25" s="46"/>
      <c r="F25" s="49"/>
      <c r="G25" s="49"/>
      <c r="H25" s="47"/>
      <c r="I25" s="47"/>
      <c r="J25" s="10" t="str">
        <f aca="false">IF(H25="","",IF(H25&gt;$H$5,"🔴 Over Limit",IF(H25&gt;$H$5*0.9,"🟡 Warning","✅ OK")))</f>
        <v/>
      </c>
      <c r="K25" s="10" t="str">
        <f aca="false">IF(I25="","",IF(I25&gt;$I$5,"🔴 Over Limit",IF(I25&gt;$I$5*0.9,"🟡 Warning","✅ OK")))</f>
        <v/>
      </c>
      <c r="L25" s="49"/>
    </row>
    <row r="26" customFormat="false" ht="18" hidden="false" customHeight="true" outlineLevel="0" collapsed="false">
      <c r="B26" s="48"/>
      <c r="C26" s="48"/>
      <c r="D26" s="46"/>
      <c r="E26" s="46"/>
      <c r="F26" s="48"/>
      <c r="G26" s="48"/>
      <c r="H26" s="47"/>
      <c r="I26" s="47"/>
      <c r="J26" s="16" t="str">
        <f aca="false">IF(H26="","",IF(H26&gt;$H$5,"🔴 Over Limit",IF(H26&gt;$H$5*0.9,"🟡 Warning","✅ OK")))</f>
        <v/>
      </c>
      <c r="K26" s="16" t="str">
        <f aca="false">IF(I26="","",IF(I26&gt;$I$5,"🔴 Over Limit",IF(I26&gt;$I$5*0.9,"🟡 Warning","✅ OK")))</f>
        <v/>
      </c>
      <c r="L26" s="48"/>
    </row>
    <row r="27" customFormat="false" ht="18" hidden="false" customHeight="true" outlineLevel="0" collapsed="false">
      <c r="B27" s="49"/>
      <c r="C27" s="49"/>
      <c r="D27" s="46"/>
      <c r="E27" s="46"/>
      <c r="F27" s="49"/>
      <c r="G27" s="49"/>
      <c r="H27" s="47"/>
      <c r="I27" s="47"/>
      <c r="J27" s="10" t="str">
        <f aca="false">IF(H27="","",IF(H27&gt;$H$5,"🔴 Over Limit",IF(H27&gt;$H$5*0.9,"🟡 Warning","✅ OK")))</f>
        <v/>
      </c>
      <c r="K27" s="10" t="str">
        <f aca="false">IF(I27="","",IF(I27&gt;$I$5,"🔴 Over Limit",IF(I27&gt;$I$5*0.9,"🟡 Warning","✅ OK")))</f>
        <v/>
      </c>
      <c r="L27" s="49"/>
    </row>
    <row r="28" customFormat="false" ht="18" hidden="false" customHeight="true" outlineLevel="0" collapsed="false">
      <c r="B28" s="48"/>
      <c r="C28" s="48"/>
      <c r="D28" s="46"/>
      <c r="E28" s="46"/>
      <c r="F28" s="48"/>
      <c r="G28" s="48"/>
      <c r="H28" s="47"/>
      <c r="I28" s="47"/>
      <c r="J28" s="16" t="str">
        <f aca="false">IF(H28="","",IF(H28&gt;$H$5,"🔴 Over Limit",IF(H28&gt;$H$5*0.9,"🟡 Warning","✅ OK")))</f>
        <v/>
      </c>
      <c r="K28" s="16" t="str">
        <f aca="false">IF(I28="","",IF(I28&gt;$I$5,"🔴 Over Limit",IF(I28&gt;$I$5*0.9,"🟡 Warning","✅ OK")))</f>
        <v/>
      </c>
      <c r="L28" s="48"/>
    </row>
    <row r="29" customFormat="false" ht="18" hidden="false" customHeight="true" outlineLevel="0" collapsed="false">
      <c r="B29" s="49"/>
      <c r="C29" s="49"/>
      <c r="D29" s="46"/>
      <c r="E29" s="46"/>
      <c r="F29" s="49"/>
      <c r="G29" s="49"/>
      <c r="H29" s="47"/>
      <c r="I29" s="47"/>
      <c r="J29" s="10" t="str">
        <f aca="false">IF(H29="","",IF(H29&gt;$H$5,"🔴 Over Limit",IF(H29&gt;$H$5*0.9,"🟡 Warning","✅ OK")))</f>
        <v/>
      </c>
      <c r="K29" s="10" t="str">
        <f aca="false">IF(I29="","",IF(I29&gt;$I$5,"🔴 Over Limit",IF(I29&gt;$I$5*0.9,"🟡 Warning","✅ OK")))</f>
        <v/>
      </c>
      <c r="L29" s="49"/>
    </row>
    <row r="30" customFormat="false" ht="18" hidden="false" customHeight="true" outlineLevel="0" collapsed="false">
      <c r="B30" s="48"/>
      <c r="C30" s="48"/>
      <c r="D30" s="46"/>
      <c r="E30" s="46"/>
      <c r="F30" s="48"/>
      <c r="G30" s="48"/>
      <c r="H30" s="47"/>
      <c r="I30" s="47"/>
      <c r="J30" s="16" t="str">
        <f aca="false">IF(H30="","",IF(H30&gt;$H$5,"🔴 Over Limit",IF(H30&gt;$H$5*0.9,"🟡 Warning","✅ OK")))</f>
        <v/>
      </c>
      <c r="K30" s="16" t="str">
        <f aca="false">IF(I30="","",IF(I30&gt;$I$5,"🔴 Over Limit",IF(I30&gt;$I$5*0.9,"🟡 Warning","✅ OK")))</f>
        <v/>
      </c>
      <c r="L30" s="48"/>
    </row>
    <row r="31" customFormat="false" ht="18" hidden="false" customHeight="true" outlineLevel="0" collapsed="false">
      <c r="B31" s="49"/>
      <c r="C31" s="49"/>
      <c r="D31" s="46"/>
      <c r="E31" s="46"/>
      <c r="F31" s="49"/>
      <c r="G31" s="49"/>
      <c r="H31" s="47"/>
      <c r="I31" s="47"/>
      <c r="J31" s="10" t="str">
        <f aca="false">IF(H31="","",IF(H31&gt;$H$5,"🔴 Over Limit",IF(H31&gt;$H$5*0.9,"🟡 Warning","✅ OK")))</f>
        <v/>
      </c>
      <c r="K31" s="10" t="str">
        <f aca="false">IF(I31="","",IF(I31&gt;$I$5,"🔴 Over Limit",IF(I31&gt;$I$5*0.9,"🟡 Warning","✅ OK")))</f>
        <v/>
      </c>
      <c r="L31" s="49"/>
    </row>
    <row r="32" customFormat="false" ht="18" hidden="false" customHeight="true" outlineLevel="0" collapsed="false">
      <c r="B32" s="48"/>
      <c r="C32" s="48"/>
      <c r="D32" s="46"/>
      <c r="E32" s="46"/>
      <c r="F32" s="48"/>
      <c r="G32" s="48"/>
      <c r="H32" s="47"/>
      <c r="I32" s="47"/>
      <c r="J32" s="16" t="str">
        <f aca="false">IF(H32="","",IF(H32&gt;$H$5,"🔴 Over Limit",IF(H32&gt;$H$5*0.9,"🟡 Warning","✅ OK")))</f>
        <v/>
      </c>
      <c r="K32" s="16" t="str">
        <f aca="false">IF(I32="","",IF(I32&gt;$I$5,"🔴 Over Limit",IF(I32&gt;$I$5*0.9,"🟡 Warning","✅ OK")))</f>
        <v/>
      </c>
      <c r="L32" s="48"/>
    </row>
    <row r="33" customFormat="false" ht="18" hidden="false" customHeight="true" outlineLevel="0" collapsed="false">
      <c r="B33" s="49"/>
      <c r="C33" s="49"/>
      <c r="D33" s="46"/>
      <c r="E33" s="46"/>
      <c r="F33" s="49"/>
      <c r="G33" s="49"/>
      <c r="H33" s="47"/>
      <c r="I33" s="47"/>
      <c r="J33" s="10" t="str">
        <f aca="false">IF(H33="","",IF(H33&gt;$H$5,"🔴 Over Limit",IF(H33&gt;$H$5*0.9,"🟡 Warning","✅ OK")))</f>
        <v/>
      </c>
      <c r="K33" s="10" t="str">
        <f aca="false">IF(I33="","",IF(I33&gt;$I$5,"🔴 Over Limit",IF(I33&gt;$I$5*0.9,"🟡 Warning","✅ OK")))</f>
        <v/>
      </c>
      <c r="L33" s="49"/>
    </row>
    <row r="34" customFormat="false" ht="18" hidden="false" customHeight="true" outlineLevel="0" collapsed="false">
      <c r="B34" s="48"/>
      <c r="C34" s="48"/>
      <c r="D34" s="46"/>
      <c r="E34" s="46"/>
      <c r="F34" s="48"/>
      <c r="G34" s="48"/>
      <c r="H34" s="47"/>
      <c r="I34" s="47"/>
      <c r="J34" s="16" t="str">
        <f aca="false">IF(H34="","",IF(H34&gt;$H$5,"🔴 Over Limit",IF(H34&gt;$H$5*0.9,"🟡 Warning","✅ OK")))</f>
        <v/>
      </c>
      <c r="K34" s="16" t="str">
        <f aca="false">IF(I34="","",IF(I34&gt;$I$5,"🔴 Over Limit",IF(I34&gt;$I$5*0.9,"🟡 Warning","✅ OK")))</f>
        <v/>
      </c>
      <c r="L34" s="48"/>
    </row>
    <row r="35" customFormat="false" ht="18" hidden="false" customHeight="true" outlineLevel="0" collapsed="false">
      <c r="B35" s="49"/>
      <c r="C35" s="49"/>
      <c r="D35" s="46"/>
      <c r="E35" s="46"/>
      <c r="F35" s="49"/>
      <c r="G35" s="49"/>
      <c r="H35" s="47"/>
      <c r="I35" s="47"/>
      <c r="J35" s="10" t="str">
        <f aca="false">IF(H35="","",IF(H35&gt;$H$5,"🔴 Over Limit",IF(H35&gt;$H$5*0.9,"🟡 Warning","✅ OK")))</f>
        <v/>
      </c>
      <c r="K35" s="10" t="str">
        <f aca="false">IF(I35="","",IF(I35&gt;$I$5,"🔴 Over Limit",IF(I35&gt;$I$5*0.9,"🟡 Warning","✅ OK")))</f>
        <v/>
      </c>
      <c r="L35" s="49"/>
    </row>
    <row r="36" customFormat="false" ht="18" hidden="false" customHeight="true" outlineLevel="0" collapsed="false">
      <c r="B36" s="48"/>
      <c r="C36" s="48"/>
      <c r="D36" s="46"/>
      <c r="E36" s="46"/>
      <c r="F36" s="48"/>
      <c r="G36" s="48"/>
      <c r="H36" s="47"/>
      <c r="I36" s="47"/>
      <c r="J36" s="16" t="str">
        <f aca="false">IF(H36="","",IF(H36&gt;$H$5,"🔴 Over Limit",IF(H36&gt;$H$5*0.9,"🟡 Warning","✅ OK")))</f>
        <v/>
      </c>
      <c r="K36" s="16" t="str">
        <f aca="false">IF(I36="","",IF(I36&gt;$I$5,"🔴 Over Limit",IF(I36&gt;$I$5*0.9,"🟡 Warning","✅ OK")))</f>
        <v/>
      </c>
      <c r="L36" s="48"/>
    </row>
    <row r="37" customFormat="false" ht="18" hidden="false" customHeight="true" outlineLevel="0" collapsed="false">
      <c r="B37" s="49"/>
      <c r="C37" s="49"/>
      <c r="D37" s="46"/>
      <c r="E37" s="46"/>
      <c r="F37" s="49"/>
      <c r="G37" s="49"/>
      <c r="H37" s="47"/>
      <c r="I37" s="47"/>
      <c r="J37" s="10" t="str">
        <f aca="false">IF(H37="","",IF(H37&gt;$H$5,"🔴 Over Limit",IF(H37&gt;$H$5*0.9,"🟡 Warning","✅ OK")))</f>
        <v/>
      </c>
      <c r="K37" s="10" t="str">
        <f aca="false">IF(I37="","",IF(I37&gt;$I$5,"🔴 Over Limit",IF(I37&gt;$I$5*0.9,"🟡 Warning","✅ OK")))</f>
        <v/>
      </c>
      <c r="L37" s="49"/>
    </row>
    <row r="38" customFormat="false" ht="18" hidden="false" customHeight="true" outlineLevel="0" collapsed="false">
      <c r="B38" s="48"/>
      <c r="C38" s="48"/>
      <c r="D38" s="46"/>
      <c r="E38" s="46"/>
      <c r="F38" s="48"/>
      <c r="G38" s="48"/>
      <c r="H38" s="47"/>
      <c r="I38" s="47"/>
      <c r="J38" s="16" t="str">
        <f aca="false">IF(H38="","",IF(H38&gt;$H$5,"🔴 Over Limit",IF(H38&gt;$H$5*0.9,"🟡 Warning","✅ OK")))</f>
        <v/>
      </c>
      <c r="K38" s="16" t="str">
        <f aca="false">IF(I38="","",IF(I38&gt;$I$5,"🔴 Over Limit",IF(I38&gt;$I$5*0.9,"🟡 Warning","✅ OK")))</f>
        <v/>
      </c>
      <c r="L38" s="48"/>
    </row>
    <row r="39" customFormat="false" ht="18" hidden="false" customHeight="true" outlineLevel="0" collapsed="false">
      <c r="B39" s="49"/>
      <c r="C39" s="49"/>
      <c r="D39" s="46"/>
      <c r="E39" s="46"/>
      <c r="F39" s="49"/>
      <c r="G39" s="49"/>
      <c r="H39" s="47"/>
      <c r="I39" s="47"/>
      <c r="J39" s="10" t="str">
        <f aca="false">IF(H39="","",IF(H39&gt;$H$5,"🔴 Over Limit",IF(H39&gt;$H$5*0.9,"🟡 Warning","✅ OK")))</f>
        <v/>
      </c>
      <c r="K39" s="10" t="str">
        <f aca="false">IF(I39="","",IF(I39&gt;$I$5,"🔴 Over Limit",IF(I39&gt;$I$5*0.9,"🟡 Warning","✅ OK")))</f>
        <v/>
      </c>
      <c r="L39" s="49"/>
    </row>
    <row r="40" customFormat="false" ht="18" hidden="false" customHeight="true" outlineLevel="0" collapsed="false">
      <c r="B40" s="48"/>
      <c r="C40" s="48"/>
      <c r="D40" s="46"/>
      <c r="E40" s="46"/>
      <c r="F40" s="48"/>
      <c r="G40" s="48"/>
      <c r="H40" s="47"/>
      <c r="I40" s="47"/>
      <c r="J40" s="16" t="str">
        <f aca="false">IF(H40="","",IF(H40&gt;$H$5,"🔴 Over Limit",IF(H40&gt;$H$5*0.9,"🟡 Warning","✅ OK")))</f>
        <v/>
      </c>
      <c r="K40" s="16" t="str">
        <f aca="false">IF(I40="","",IF(I40&gt;$I$5,"🔴 Over Limit",IF(I40&gt;$I$5*0.9,"🟡 Warning","✅ OK")))</f>
        <v/>
      </c>
      <c r="L40" s="48"/>
    </row>
    <row r="41" customFormat="false" ht="18" hidden="false" customHeight="true" outlineLevel="0" collapsed="false">
      <c r="B41" s="49"/>
      <c r="C41" s="49"/>
      <c r="D41" s="46"/>
      <c r="E41" s="46"/>
      <c r="F41" s="49"/>
      <c r="G41" s="49"/>
      <c r="H41" s="47"/>
      <c r="I41" s="47"/>
      <c r="J41" s="10" t="str">
        <f aca="false">IF(H41="","",IF(H41&gt;$H$5,"🔴 Over Limit",IF(H41&gt;$H$5*0.9,"🟡 Warning","✅ OK")))</f>
        <v/>
      </c>
      <c r="K41" s="10" t="str">
        <f aca="false">IF(I41="","",IF(I41&gt;$I$5,"🔴 Over Limit",IF(I41&gt;$I$5*0.9,"🟡 Warning","✅ OK")))</f>
        <v/>
      </c>
      <c r="L41" s="49"/>
    </row>
    <row r="42" customFormat="false" ht="18" hidden="false" customHeight="true" outlineLevel="0" collapsed="false">
      <c r="B42" s="48"/>
      <c r="C42" s="48"/>
      <c r="D42" s="46"/>
      <c r="E42" s="46"/>
      <c r="F42" s="48"/>
      <c r="G42" s="48"/>
      <c r="H42" s="47"/>
      <c r="I42" s="47"/>
      <c r="J42" s="16" t="str">
        <f aca="false">IF(H42="","",IF(H42&gt;$H$5,"🔴 Over Limit",IF(H42&gt;$H$5*0.9,"🟡 Warning","✅ OK")))</f>
        <v/>
      </c>
      <c r="K42" s="16" t="str">
        <f aca="false">IF(I42="","",IF(I42&gt;$I$5,"🔴 Over Limit",IF(I42&gt;$I$5*0.9,"🟡 Warning","✅ OK")))</f>
        <v/>
      </c>
      <c r="L42" s="48"/>
    </row>
    <row r="43" customFormat="false" ht="18" hidden="false" customHeight="true" outlineLevel="0" collapsed="false">
      <c r="B43" s="49"/>
      <c r="C43" s="49"/>
      <c r="D43" s="46"/>
      <c r="E43" s="46"/>
      <c r="F43" s="49"/>
      <c r="G43" s="49"/>
      <c r="H43" s="47"/>
      <c r="I43" s="47"/>
      <c r="J43" s="10" t="str">
        <f aca="false">IF(H43="","",IF(H43&gt;$H$5,"🔴 Over Limit",IF(H43&gt;$H$5*0.9,"🟡 Warning","✅ OK")))</f>
        <v/>
      </c>
      <c r="K43" s="10" t="str">
        <f aca="false">IF(I43="","",IF(I43&gt;$I$5,"🔴 Over Limit",IF(I43&gt;$I$5*0.9,"🟡 Warning","✅ OK")))</f>
        <v/>
      </c>
      <c r="L43" s="49"/>
    </row>
    <row r="44" customFormat="false" ht="18" hidden="false" customHeight="true" outlineLevel="0" collapsed="false">
      <c r="B44" s="48"/>
      <c r="C44" s="48"/>
      <c r="D44" s="46"/>
      <c r="E44" s="46"/>
      <c r="F44" s="48"/>
      <c r="G44" s="48"/>
      <c r="H44" s="47"/>
      <c r="I44" s="47"/>
      <c r="J44" s="16" t="str">
        <f aca="false">IF(H44="","",IF(H44&gt;$H$5,"🔴 Over Limit",IF(H44&gt;$H$5*0.9,"🟡 Warning","✅ OK")))</f>
        <v/>
      </c>
      <c r="K44" s="16" t="str">
        <f aca="false">IF(I44="","",IF(I44&gt;$I$5,"🔴 Over Limit",IF(I44&gt;$I$5*0.9,"🟡 Warning","✅ OK")))</f>
        <v/>
      </c>
      <c r="L44" s="48"/>
    </row>
    <row r="45" customFormat="false" ht="18" hidden="false" customHeight="true" outlineLevel="0" collapsed="false">
      <c r="B45" s="49"/>
      <c r="C45" s="49"/>
      <c r="D45" s="46"/>
      <c r="E45" s="46"/>
      <c r="F45" s="49"/>
      <c r="G45" s="49"/>
      <c r="H45" s="47"/>
      <c r="I45" s="47"/>
      <c r="J45" s="10" t="str">
        <f aca="false">IF(H45="","",IF(H45&gt;$H$5,"🔴 Over Limit",IF(H45&gt;$H$5*0.9,"🟡 Warning","✅ OK")))</f>
        <v/>
      </c>
      <c r="K45" s="10" t="str">
        <f aca="false">IF(I45="","",IF(I45&gt;$I$5,"🔴 Over Limit",IF(I45&gt;$I$5*0.9,"🟡 Warning","✅ OK")))</f>
        <v/>
      </c>
      <c r="L45" s="49"/>
    </row>
    <row r="46" customFormat="false" ht="18" hidden="false" customHeight="true" outlineLevel="0" collapsed="false">
      <c r="B46" s="48"/>
      <c r="C46" s="48"/>
      <c r="D46" s="46"/>
      <c r="E46" s="46"/>
      <c r="F46" s="48"/>
      <c r="G46" s="48"/>
      <c r="H46" s="47"/>
      <c r="I46" s="47"/>
      <c r="J46" s="16" t="str">
        <f aca="false">IF(H46="","",IF(H46&gt;$H$5,"🔴 Over Limit",IF(H46&gt;$H$5*0.9,"🟡 Warning","✅ OK")))</f>
        <v/>
      </c>
      <c r="K46" s="16" t="str">
        <f aca="false">IF(I46="","",IF(I46&gt;$I$5,"🔴 Over Limit",IF(I46&gt;$I$5*0.9,"🟡 Warning","✅ OK")))</f>
        <v/>
      </c>
      <c r="L46" s="48"/>
    </row>
    <row r="47" customFormat="false" ht="18" hidden="false" customHeight="true" outlineLevel="0" collapsed="false">
      <c r="B47" s="49"/>
      <c r="C47" s="49"/>
      <c r="D47" s="46"/>
      <c r="E47" s="46"/>
      <c r="F47" s="49"/>
      <c r="G47" s="49"/>
      <c r="H47" s="47"/>
      <c r="I47" s="47"/>
      <c r="J47" s="10" t="str">
        <f aca="false">IF(H47="","",IF(H47&gt;$H$5,"🔴 Over Limit",IF(H47&gt;$H$5*0.9,"🟡 Warning","✅ OK")))</f>
        <v/>
      </c>
      <c r="K47" s="10" t="str">
        <f aca="false">IF(I47="","",IF(I47&gt;$I$5,"🔴 Over Limit",IF(I47&gt;$I$5*0.9,"🟡 Warning","✅ OK")))</f>
        <v/>
      </c>
      <c r="L47" s="49"/>
    </row>
    <row r="48" customFormat="false" ht="18" hidden="false" customHeight="true" outlineLevel="0" collapsed="false">
      <c r="B48" s="48"/>
      <c r="C48" s="48"/>
      <c r="D48" s="46"/>
      <c r="E48" s="46"/>
      <c r="F48" s="48"/>
      <c r="G48" s="48"/>
      <c r="H48" s="47"/>
      <c r="I48" s="47"/>
      <c r="J48" s="16" t="str">
        <f aca="false">IF(H48="","",IF(H48&gt;$H$5,"🔴 Over Limit",IF(H48&gt;$H$5*0.9,"🟡 Warning","✅ OK")))</f>
        <v/>
      </c>
      <c r="K48" s="16" t="str">
        <f aca="false">IF(I48="","",IF(I48&gt;$I$5,"🔴 Over Limit",IF(I48&gt;$I$5*0.9,"🟡 Warning","✅ OK")))</f>
        <v/>
      </c>
      <c r="L48" s="48"/>
    </row>
    <row r="49" customFormat="false" ht="18" hidden="false" customHeight="true" outlineLevel="0" collapsed="false">
      <c r="B49" s="49"/>
      <c r="C49" s="49"/>
      <c r="D49" s="46"/>
      <c r="E49" s="46"/>
      <c r="F49" s="49"/>
      <c r="G49" s="49"/>
      <c r="H49" s="47"/>
      <c r="I49" s="47"/>
      <c r="J49" s="10" t="str">
        <f aca="false">IF(H49="","",IF(H49&gt;$H$5,"🔴 Over Limit",IF(H49&gt;$H$5*0.9,"🟡 Warning","✅ OK")))</f>
        <v/>
      </c>
      <c r="K49" s="10" t="str">
        <f aca="false">IF(I49="","",IF(I49&gt;$I$5,"🔴 Over Limit",IF(I49&gt;$I$5*0.9,"🟡 Warning","✅ OK")))</f>
        <v/>
      </c>
      <c r="L49" s="49"/>
    </row>
    <row r="50" customFormat="false" ht="18" hidden="false" customHeight="true" outlineLevel="0" collapsed="false">
      <c r="B50" s="48"/>
      <c r="C50" s="48"/>
      <c r="D50" s="46"/>
      <c r="E50" s="46"/>
      <c r="F50" s="48"/>
      <c r="G50" s="48"/>
      <c r="H50" s="47"/>
      <c r="I50" s="47"/>
      <c r="J50" s="16" t="str">
        <f aca="false">IF(H50="","",IF(H50&gt;$H$5,"🔴 Over Limit",IF(H50&gt;$H$5*0.9,"🟡 Warning","✅ OK")))</f>
        <v/>
      </c>
      <c r="K50" s="16" t="str">
        <f aca="false">IF(I50="","",IF(I50&gt;$I$5,"🔴 Over Limit",IF(I50&gt;$I$5*0.9,"🟡 Warning","✅ OK")))</f>
        <v/>
      </c>
      <c r="L50" s="48"/>
    </row>
    <row r="51" customFormat="false" ht="18" hidden="false" customHeight="true" outlineLevel="0" collapsed="false">
      <c r="B51" s="49"/>
      <c r="C51" s="49"/>
      <c r="D51" s="46"/>
      <c r="E51" s="46"/>
      <c r="F51" s="49"/>
      <c r="G51" s="49"/>
      <c r="H51" s="47"/>
      <c r="I51" s="47"/>
      <c r="J51" s="10" t="str">
        <f aca="false">IF(H51="","",IF(H51&gt;$H$5,"🔴 Over Limit",IF(H51&gt;$H$5*0.9,"🟡 Warning","✅ OK")))</f>
        <v/>
      </c>
      <c r="K51" s="10" t="str">
        <f aca="false">IF(I51="","",IF(I51&gt;$I$5,"🔴 Over Limit",IF(I51&gt;$I$5*0.9,"🟡 Warning","✅ OK")))</f>
        <v/>
      </c>
      <c r="L51" s="49"/>
    </row>
    <row r="52" customFormat="false" ht="18" hidden="false" customHeight="true" outlineLevel="0" collapsed="false">
      <c r="B52" s="48"/>
      <c r="C52" s="48"/>
      <c r="D52" s="46"/>
      <c r="E52" s="46"/>
      <c r="F52" s="48"/>
      <c r="G52" s="48"/>
      <c r="H52" s="47"/>
      <c r="I52" s="47"/>
      <c r="J52" s="16" t="str">
        <f aca="false">IF(H52="","",IF(H52&gt;$H$5,"🔴 Over Limit",IF(H52&gt;$H$5*0.9,"🟡 Warning","✅ OK")))</f>
        <v/>
      </c>
      <c r="K52" s="16" t="str">
        <f aca="false">IF(I52="","",IF(I52&gt;$I$5,"🔴 Over Limit",IF(I52&gt;$I$5*0.9,"🟡 Warning","✅ OK")))</f>
        <v/>
      </c>
      <c r="L52" s="48"/>
    </row>
    <row r="53" customFormat="false" ht="18" hidden="false" customHeight="true" outlineLevel="0" collapsed="false">
      <c r="B53" s="49"/>
      <c r="C53" s="49"/>
      <c r="D53" s="46"/>
      <c r="E53" s="46"/>
      <c r="F53" s="49"/>
      <c r="G53" s="49"/>
      <c r="H53" s="47"/>
      <c r="I53" s="47"/>
      <c r="J53" s="10" t="str">
        <f aca="false">IF(H53="","",IF(H53&gt;$H$5,"🔴 Over Limit",IF(H53&gt;$H$5*0.9,"🟡 Warning","✅ OK")))</f>
        <v/>
      </c>
      <c r="K53" s="10" t="str">
        <f aca="false">IF(I53="","",IF(I53&gt;$I$5,"🔴 Over Limit",IF(I53&gt;$I$5*0.9,"🟡 Warning","✅ OK")))</f>
        <v/>
      </c>
      <c r="L53" s="49"/>
    </row>
    <row r="54" customFormat="false" ht="18" hidden="false" customHeight="true" outlineLevel="0" collapsed="false">
      <c r="B54" s="48"/>
      <c r="C54" s="48"/>
      <c r="D54" s="46"/>
      <c r="E54" s="46"/>
      <c r="F54" s="48"/>
      <c r="G54" s="48"/>
      <c r="H54" s="47"/>
      <c r="I54" s="47"/>
      <c r="J54" s="16" t="str">
        <f aca="false">IF(H54="","",IF(H54&gt;$H$5,"🔴 Over Limit",IF(H54&gt;$H$5*0.9,"🟡 Warning","✅ OK")))</f>
        <v/>
      </c>
      <c r="K54" s="16" t="str">
        <f aca="false">IF(I54="","",IF(I54&gt;$I$5,"🔴 Over Limit",IF(I54&gt;$I$5*0.9,"🟡 Warning","✅ OK")))</f>
        <v/>
      </c>
      <c r="L54" s="48"/>
    </row>
    <row r="55" customFormat="false" ht="18" hidden="false" customHeight="true" outlineLevel="0" collapsed="false">
      <c r="B55" s="49"/>
      <c r="C55" s="49"/>
      <c r="D55" s="46"/>
      <c r="E55" s="46"/>
      <c r="F55" s="49"/>
      <c r="G55" s="49"/>
      <c r="H55" s="47"/>
      <c r="I55" s="47"/>
      <c r="J55" s="10" t="str">
        <f aca="false">IF(H55="","",IF(H55&gt;$H$5,"🔴 Over Limit",IF(H55&gt;$H$5*0.9,"🟡 Warning","✅ OK")))</f>
        <v/>
      </c>
      <c r="K55" s="10" t="str">
        <f aca="false">IF(I55="","",IF(I55&gt;$I$5,"🔴 Over Limit",IF(I55&gt;$I$5*0.9,"🟡 Warning","✅ OK")))</f>
        <v/>
      </c>
      <c r="L55" s="49"/>
    </row>
    <row r="56" customFormat="false" ht="18" hidden="false" customHeight="true" outlineLevel="0" collapsed="false">
      <c r="B56" s="48"/>
      <c r="C56" s="48"/>
      <c r="D56" s="46"/>
      <c r="E56" s="46"/>
      <c r="F56" s="48"/>
      <c r="G56" s="48"/>
      <c r="H56" s="47"/>
      <c r="I56" s="47"/>
      <c r="J56" s="16" t="str">
        <f aca="false">IF(H56="","",IF(H56&gt;$H$5,"🔴 Over Limit",IF(H56&gt;$H$5*0.9,"🟡 Warning","✅ OK")))</f>
        <v/>
      </c>
      <c r="K56" s="16" t="str">
        <f aca="false">IF(I56="","",IF(I56&gt;$I$5,"🔴 Over Limit",IF(I56&gt;$I$5*0.9,"🟡 Warning","✅ OK")))</f>
        <v/>
      </c>
      <c r="L56" s="48"/>
    </row>
  </sheetData>
  <mergeCells count="4">
    <mergeCell ref="B1:L1"/>
    <mergeCell ref="B2:L2"/>
    <mergeCell ref="B3:L3"/>
    <mergeCell ref="B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3"/>
    <col collapsed="false" customWidth="true" hidden="false" outlineLevel="0" max="9" min="8" style="0" width="15"/>
    <col collapsed="false" customWidth="true" hidden="false" outlineLevel="0" max="10" min="10" style="0" width="14"/>
    <col collapsed="false" customWidth="true" hidden="false" outlineLevel="0" max="11" min="11" style="0" width="18"/>
  </cols>
  <sheetData>
    <row r="1" customFormat="false" ht="31.5" hidden="false" customHeight="true" outlineLevel="0" collapsed="false">
      <c r="B1" s="39" t="s">
        <v>176</v>
      </c>
      <c r="C1" s="39"/>
      <c r="D1" s="39"/>
      <c r="E1" s="39"/>
      <c r="F1" s="39"/>
      <c r="G1" s="39"/>
      <c r="H1" s="39"/>
      <c r="I1" s="39"/>
      <c r="J1" s="39"/>
      <c r="K1" s="39"/>
    </row>
    <row r="2" customFormat="false" ht="15" hidden="false" customHeight="true" outlineLevel="0" collapsed="false">
      <c r="B2" s="40" t="s">
        <v>101</v>
      </c>
      <c r="C2" s="40"/>
      <c r="D2" s="40"/>
      <c r="E2" s="40"/>
      <c r="F2" s="40"/>
      <c r="G2" s="40"/>
      <c r="H2" s="40"/>
      <c r="I2" s="40"/>
      <c r="J2" s="40"/>
      <c r="K2" s="40"/>
    </row>
    <row r="3" customFormat="false" ht="21.75" hidden="false" customHeight="true" outlineLevel="0" collapsed="false">
      <c r="B3" s="65" t="s">
        <v>177</v>
      </c>
      <c r="C3" s="65"/>
      <c r="D3" s="65"/>
      <c r="E3" s="65"/>
      <c r="F3" s="65"/>
      <c r="G3" s="65"/>
      <c r="H3" s="65"/>
      <c r="I3" s="65"/>
      <c r="J3" s="65"/>
      <c r="K3" s="65"/>
    </row>
    <row r="4" customFormat="false" ht="19.5" hidden="false" customHeight="true" outlineLevel="0" collapsed="false">
      <c r="B4" s="41" t="s">
        <v>77</v>
      </c>
      <c r="C4" s="20" t="n">
        <f aca="false">SUM(E7:E56)</f>
        <v>134000</v>
      </c>
      <c r="D4" s="20" t="n">
        <f aca="false">SUM(F7:F56)</f>
        <v>7700</v>
      </c>
      <c r="E4" s="22" t="n">
        <f aca="false">IFERROR(D4/(C4+D4),0)</f>
        <v>0.0543401552575865</v>
      </c>
      <c r="F4" s="21" t="n">
        <f aca="false">IFERROR(AVERAGEIF(J7:J56,"&gt;0"),0)</f>
        <v>0.9675</v>
      </c>
      <c r="G4" s="42" t="n">
        <f aca="false">COUNTIF(F7:F56,"&gt;0")</f>
        <v>2</v>
      </c>
      <c r="H4" s="49"/>
      <c r="I4" s="49"/>
      <c r="J4" s="49"/>
      <c r="K4" s="49"/>
    </row>
    <row r="6" customFormat="false" ht="27.75" hidden="false" customHeight="true" outlineLevel="0" collapsed="false">
      <c r="B6" s="66" t="s">
        <v>103</v>
      </c>
      <c r="C6" s="66" t="s">
        <v>104</v>
      </c>
      <c r="D6" s="66" t="s">
        <v>105</v>
      </c>
      <c r="E6" s="66" t="s">
        <v>106</v>
      </c>
      <c r="F6" s="66" t="s">
        <v>107</v>
      </c>
      <c r="G6" s="66" t="s">
        <v>108</v>
      </c>
      <c r="H6" s="66" t="s">
        <v>109</v>
      </c>
      <c r="I6" s="66" t="s">
        <v>110</v>
      </c>
      <c r="J6" s="66" t="s">
        <v>111</v>
      </c>
      <c r="K6" s="66" t="s">
        <v>112</v>
      </c>
    </row>
    <row r="7" customFormat="false" ht="18" hidden="false" customHeight="true" outlineLevel="0" collapsed="false">
      <c r="B7" s="25" t="s">
        <v>173</v>
      </c>
      <c r="C7" s="46" t="s">
        <v>113</v>
      </c>
      <c r="D7" s="50" t="n">
        <v>78000</v>
      </c>
      <c r="E7" s="50" t="n">
        <v>71000</v>
      </c>
      <c r="F7" s="50" t="n">
        <v>6500</v>
      </c>
      <c r="G7" s="51" t="n">
        <f aca="false">IFERROR(F7/(E7+F7),0)</f>
        <v>0.0838709677419355</v>
      </c>
      <c r="H7" s="50" t="n">
        <v>10000</v>
      </c>
      <c r="I7" s="50" t="n">
        <v>9950</v>
      </c>
      <c r="J7" s="52" t="n">
        <f aca="false">IFERROR(I7/H7,0)</f>
        <v>0.995</v>
      </c>
      <c r="K7" s="10" t="str">
        <f aca="false">IF(F7&gt;0,IF(J7&gt;0.9,"🔴 OOM/Queue Full","🟡 Queue Overflow"),"✅ None")</f>
        <v>🔴 OOM/Queue Full</v>
      </c>
    </row>
    <row r="8" customFormat="false" ht="18" hidden="false" customHeight="true" outlineLevel="0" collapsed="false">
      <c r="B8" s="28" t="s">
        <v>175</v>
      </c>
      <c r="C8" s="46" t="s">
        <v>113</v>
      </c>
      <c r="D8" s="50" t="n">
        <v>65000</v>
      </c>
      <c r="E8" s="50" t="n">
        <v>63000</v>
      </c>
      <c r="F8" s="50" t="n">
        <v>1200</v>
      </c>
      <c r="G8" s="51" t="n">
        <f aca="false">IFERROR(F8/(E8+F8),0)</f>
        <v>0.0186915887850467</v>
      </c>
      <c r="H8" s="50" t="n">
        <v>10000</v>
      </c>
      <c r="I8" s="50" t="n">
        <v>9400</v>
      </c>
      <c r="J8" s="52" t="n">
        <f aca="false">IFERROR(I8/H8,0)</f>
        <v>0.94</v>
      </c>
      <c r="K8" s="16" t="str">
        <f aca="false">IF(F8&gt;0,IF(J8&gt;0.9,"🔴 OOM/Queue Full","🟡 Queue Overflow"),"✅ None")</f>
        <v>🔴 OOM/Queue Full</v>
      </c>
    </row>
    <row r="9" customFormat="false" ht="18" hidden="false" customHeight="true" outlineLevel="0" collapsed="false">
      <c r="B9" s="49"/>
      <c r="C9" s="46"/>
      <c r="D9" s="50"/>
      <c r="E9" s="50"/>
      <c r="F9" s="50"/>
      <c r="G9" s="51" t="n">
        <f aca="false">IFERROR(F9/(E9+F9),0)</f>
        <v>0</v>
      </c>
      <c r="H9" s="50"/>
      <c r="I9" s="50"/>
      <c r="J9" s="52" t="n">
        <f aca="false">IFERROR(I9/H9,0)</f>
        <v>0</v>
      </c>
      <c r="K9" s="10" t="str">
        <f aca="false">IF(F9&gt;0,IF(J9&gt;0.9,"🔴 OOM/Queue Full","🟡 Queue Overflow"),"✅ None")</f>
        <v>✅ None</v>
      </c>
    </row>
    <row r="10" customFormat="false" ht="18" hidden="false" customHeight="true" outlineLevel="0" collapsed="false">
      <c r="B10" s="48"/>
      <c r="C10" s="46"/>
      <c r="D10" s="50"/>
      <c r="E10" s="50"/>
      <c r="F10" s="50"/>
      <c r="G10" s="51" t="n">
        <f aca="false">IFERROR(F10/(E10+F10),0)</f>
        <v>0</v>
      </c>
      <c r="H10" s="50"/>
      <c r="I10" s="50"/>
      <c r="J10" s="52" t="n">
        <f aca="false">IFERROR(I10/H10,0)</f>
        <v>0</v>
      </c>
      <c r="K10" s="16" t="str">
        <f aca="false">IF(F10&gt;0,IF(J10&gt;0.9,"🔴 OOM/Queue Full","🟡 Queue Overflow"),"✅ None")</f>
        <v>✅ None</v>
      </c>
    </row>
    <row r="11" customFormat="false" ht="18" hidden="false" customHeight="true" outlineLevel="0" collapsed="false">
      <c r="B11" s="49"/>
      <c r="C11" s="46"/>
      <c r="D11" s="50"/>
      <c r="E11" s="50"/>
      <c r="F11" s="50"/>
      <c r="G11" s="51" t="n">
        <f aca="false">IFERROR(F11/(E11+F11),0)</f>
        <v>0</v>
      </c>
      <c r="H11" s="50"/>
      <c r="I11" s="50"/>
      <c r="J11" s="52" t="n">
        <f aca="false">IFERROR(I11/H11,0)</f>
        <v>0</v>
      </c>
      <c r="K11" s="10" t="str">
        <f aca="false">IF(F11&gt;0,IF(J11&gt;0.9,"🔴 OOM/Queue Full","🟡 Queue Overflow"),"✅ None")</f>
        <v>✅ None</v>
      </c>
    </row>
    <row r="12" customFormat="false" ht="18" hidden="false" customHeight="true" outlineLevel="0" collapsed="false">
      <c r="B12" s="48"/>
      <c r="C12" s="46"/>
      <c r="D12" s="50"/>
      <c r="E12" s="50"/>
      <c r="F12" s="50"/>
      <c r="G12" s="51" t="n">
        <f aca="false">IFERROR(F12/(E12+F12),0)</f>
        <v>0</v>
      </c>
      <c r="H12" s="50"/>
      <c r="I12" s="50"/>
      <c r="J12" s="52" t="n">
        <f aca="false">IFERROR(I12/H12,0)</f>
        <v>0</v>
      </c>
      <c r="K12" s="16" t="str">
        <f aca="false">IF(F12&gt;0,IF(J12&gt;0.9,"🔴 OOM/Queue Full","🟡 Queue Overflow"),"✅ None")</f>
        <v>✅ None</v>
      </c>
    </row>
    <row r="13" customFormat="false" ht="18" hidden="false" customHeight="true" outlineLevel="0" collapsed="false">
      <c r="B13" s="49"/>
      <c r="C13" s="46"/>
      <c r="D13" s="50"/>
      <c r="E13" s="50"/>
      <c r="F13" s="50"/>
      <c r="G13" s="51" t="n">
        <f aca="false">IFERROR(F13/(E13+F13),0)</f>
        <v>0</v>
      </c>
      <c r="H13" s="50"/>
      <c r="I13" s="50"/>
      <c r="J13" s="52" t="n">
        <f aca="false">IFERROR(I13/H13,0)</f>
        <v>0</v>
      </c>
      <c r="K13" s="10" t="str">
        <f aca="false">IF(F13&gt;0,IF(J13&gt;0.9,"🔴 OOM/Queue Full","🟡 Queue Overflow"),"✅ None")</f>
        <v>✅ None</v>
      </c>
    </row>
    <row r="14" customFormat="false" ht="18" hidden="false" customHeight="true" outlineLevel="0" collapsed="false">
      <c r="B14" s="48"/>
      <c r="C14" s="46"/>
      <c r="D14" s="50"/>
      <c r="E14" s="50"/>
      <c r="F14" s="50"/>
      <c r="G14" s="51" t="n">
        <f aca="false">IFERROR(F14/(E14+F14),0)</f>
        <v>0</v>
      </c>
      <c r="H14" s="50"/>
      <c r="I14" s="50"/>
      <c r="J14" s="52" t="n">
        <f aca="false">IFERROR(I14/H14,0)</f>
        <v>0</v>
      </c>
      <c r="K14" s="16" t="str">
        <f aca="false">IF(F14&gt;0,IF(J14&gt;0.9,"🔴 OOM/Queue Full","🟡 Queue Overflow"),"✅ None")</f>
        <v>✅ None</v>
      </c>
    </row>
    <row r="15" customFormat="false" ht="18" hidden="false" customHeight="true" outlineLevel="0" collapsed="false">
      <c r="B15" s="49"/>
      <c r="C15" s="46"/>
      <c r="D15" s="50"/>
      <c r="E15" s="50"/>
      <c r="F15" s="50"/>
      <c r="G15" s="51" t="n">
        <f aca="false">IFERROR(F15/(E15+F15),0)</f>
        <v>0</v>
      </c>
      <c r="H15" s="50"/>
      <c r="I15" s="50"/>
      <c r="J15" s="52" t="n">
        <f aca="false">IFERROR(I15/H15,0)</f>
        <v>0</v>
      </c>
      <c r="K15" s="10" t="str">
        <f aca="false">IF(F15&gt;0,IF(J15&gt;0.9,"🔴 OOM/Queue Full","🟡 Queue Overflow"),"✅ None")</f>
        <v>✅ None</v>
      </c>
    </row>
    <row r="16" customFormat="false" ht="18" hidden="false" customHeight="true" outlineLevel="0" collapsed="false">
      <c r="B16" s="48"/>
      <c r="C16" s="46"/>
      <c r="D16" s="50"/>
      <c r="E16" s="50"/>
      <c r="F16" s="50"/>
      <c r="G16" s="51" t="n">
        <f aca="false">IFERROR(F16/(E16+F16),0)</f>
        <v>0</v>
      </c>
      <c r="H16" s="50"/>
      <c r="I16" s="50"/>
      <c r="J16" s="52" t="n">
        <f aca="false">IFERROR(I16/H16,0)</f>
        <v>0</v>
      </c>
      <c r="K16" s="16" t="str">
        <f aca="false">IF(F16&gt;0,IF(J16&gt;0.9,"🔴 OOM/Queue Full","🟡 Queue Overflow"),"✅ None")</f>
        <v>✅ None</v>
      </c>
    </row>
    <row r="17" customFormat="false" ht="18" hidden="false" customHeight="true" outlineLevel="0" collapsed="false">
      <c r="B17" s="49"/>
      <c r="C17" s="46"/>
      <c r="D17" s="50"/>
      <c r="E17" s="50"/>
      <c r="F17" s="50"/>
      <c r="G17" s="51" t="n">
        <f aca="false">IFERROR(F17/(E17+F17),0)</f>
        <v>0</v>
      </c>
      <c r="H17" s="50"/>
      <c r="I17" s="50"/>
      <c r="J17" s="52" t="n">
        <f aca="false">IFERROR(I17/H17,0)</f>
        <v>0</v>
      </c>
      <c r="K17" s="10" t="str">
        <f aca="false">IF(F17&gt;0,IF(J17&gt;0.9,"🔴 OOM/Queue Full","🟡 Queue Overflow"),"✅ None")</f>
        <v>✅ None</v>
      </c>
    </row>
    <row r="18" customFormat="false" ht="18" hidden="false" customHeight="true" outlineLevel="0" collapsed="false">
      <c r="B18" s="48"/>
      <c r="C18" s="46"/>
      <c r="D18" s="50"/>
      <c r="E18" s="50"/>
      <c r="F18" s="50"/>
      <c r="G18" s="51" t="n">
        <f aca="false">IFERROR(F18/(E18+F18),0)</f>
        <v>0</v>
      </c>
      <c r="H18" s="50"/>
      <c r="I18" s="50"/>
      <c r="J18" s="52" t="n">
        <f aca="false">IFERROR(I18/H18,0)</f>
        <v>0</v>
      </c>
      <c r="K18" s="16" t="str">
        <f aca="false">IF(F18&gt;0,IF(J18&gt;0.9,"🔴 OOM/Queue Full","🟡 Queue Overflow"),"✅ None")</f>
        <v>✅ None</v>
      </c>
    </row>
    <row r="19" customFormat="false" ht="18" hidden="false" customHeight="true" outlineLevel="0" collapsed="false">
      <c r="B19" s="49"/>
      <c r="C19" s="46"/>
      <c r="D19" s="50"/>
      <c r="E19" s="50"/>
      <c r="F19" s="50"/>
      <c r="G19" s="51" t="n">
        <f aca="false">IFERROR(F19/(E19+F19),0)</f>
        <v>0</v>
      </c>
      <c r="H19" s="50"/>
      <c r="I19" s="50"/>
      <c r="J19" s="52" t="n">
        <f aca="false">IFERROR(I19/H19,0)</f>
        <v>0</v>
      </c>
      <c r="K19" s="10" t="str">
        <f aca="false">IF(F19&gt;0,IF(J19&gt;0.9,"🔴 OOM/Queue Full","🟡 Queue Overflow"),"✅ None")</f>
        <v>✅ None</v>
      </c>
    </row>
    <row r="20" customFormat="false" ht="18" hidden="false" customHeight="true" outlineLevel="0" collapsed="false">
      <c r="B20" s="48"/>
      <c r="C20" s="46"/>
      <c r="D20" s="50"/>
      <c r="E20" s="50"/>
      <c r="F20" s="50"/>
      <c r="G20" s="51" t="n">
        <f aca="false">IFERROR(F20/(E20+F20),0)</f>
        <v>0</v>
      </c>
      <c r="H20" s="50"/>
      <c r="I20" s="50"/>
      <c r="J20" s="52" t="n">
        <f aca="false">IFERROR(I20/H20,0)</f>
        <v>0</v>
      </c>
      <c r="K20" s="16" t="str">
        <f aca="false">IF(F20&gt;0,IF(J20&gt;0.9,"🔴 OOM/Queue Full","🟡 Queue Overflow"),"✅ None")</f>
        <v>✅ None</v>
      </c>
    </row>
    <row r="21" customFormat="false" ht="18" hidden="false" customHeight="true" outlineLevel="0" collapsed="false">
      <c r="B21" s="49"/>
      <c r="C21" s="46"/>
      <c r="D21" s="50"/>
      <c r="E21" s="50"/>
      <c r="F21" s="50"/>
      <c r="G21" s="51" t="n">
        <f aca="false">IFERROR(F21/(E21+F21),0)</f>
        <v>0</v>
      </c>
      <c r="H21" s="50"/>
      <c r="I21" s="50"/>
      <c r="J21" s="52" t="n">
        <f aca="false">IFERROR(I21/H21,0)</f>
        <v>0</v>
      </c>
      <c r="K21" s="10" t="str">
        <f aca="false">IF(F21&gt;0,IF(J21&gt;0.9,"🔴 OOM/Queue Full","🟡 Queue Overflow"),"✅ None")</f>
        <v>✅ None</v>
      </c>
    </row>
    <row r="22" customFormat="false" ht="18" hidden="false" customHeight="true" outlineLevel="0" collapsed="false">
      <c r="B22" s="48"/>
      <c r="C22" s="46"/>
      <c r="D22" s="50"/>
      <c r="E22" s="50"/>
      <c r="F22" s="50"/>
      <c r="G22" s="51" t="n">
        <f aca="false">IFERROR(F22/(E22+F22),0)</f>
        <v>0</v>
      </c>
      <c r="H22" s="50"/>
      <c r="I22" s="50"/>
      <c r="J22" s="52" t="n">
        <f aca="false">IFERROR(I22/H22,0)</f>
        <v>0</v>
      </c>
      <c r="K22" s="16" t="str">
        <f aca="false">IF(F22&gt;0,IF(J22&gt;0.9,"🔴 OOM/Queue Full","🟡 Queue Overflow"),"✅ None")</f>
        <v>✅ None</v>
      </c>
    </row>
    <row r="23" customFormat="false" ht="18" hidden="false" customHeight="true" outlineLevel="0" collapsed="false">
      <c r="B23" s="49"/>
      <c r="C23" s="46"/>
      <c r="D23" s="50"/>
      <c r="E23" s="50"/>
      <c r="F23" s="50"/>
      <c r="G23" s="51" t="n">
        <f aca="false">IFERROR(F23/(E23+F23),0)</f>
        <v>0</v>
      </c>
      <c r="H23" s="50"/>
      <c r="I23" s="50"/>
      <c r="J23" s="52" t="n">
        <f aca="false">IFERROR(I23/H23,0)</f>
        <v>0</v>
      </c>
      <c r="K23" s="10" t="str">
        <f aca="false">IF(F23&gt;0,IF(J23&gt;0.9,"🔴 OOM/Queue Full","🟡 Queue Overflow"),"✅ None")</f>
        <v>✅ None</v>
      </c>
    </row>
    <row r="24" customFormat="false" ht="18" hidden="false" customHeight="true" outlineLevel="0" collapsed="false">
      <c r="B24" s="48"/>
      <c r="C24" s="46"/>
      <c r="D24" s="50"/>
      <c r="E24" s="50"/>
      <c r="F24" s="50"/>
      <c r="G24" s="51" t="n">
        <f aca="false">IFERROR(F24/(E24+F24),0)</f>
        <v>0</v>
      </c>
      <c r="H24" s="50"/>
      <c r="I24" s="50"/>
      <c r="J24" s="52" t="n">
        <f aca="false">IFERROR(I24/H24,0)</f>
        <v>0</v>
      </c>
      <c r="K24" s="16" t="str">
        <f aca="false">IF(F24&gt;0,IF(J24&gt;0.9,"🔴 OOM/Queue Full","🟡 Queue Overflow"),"✅ None")</f>
        <v>✅ None</v>
      </c>
    </row>
    <row r="25" customFormat="false" ht="18" hidden="false" customHeight="true" outlineLevel="0" collapsed="false">
      <c r="B25" s="49"/>
      <c r="C25" s="46"/>
      <c r="D25" s="50"/>
      <c r="E25" s="50"/>
      <c r="F25" s="50"/>
      <c r="G25" s="51" t="n">
        <f aca="false">IFERROR(F25/(E25+F25),0)</f>
        <v>0</v>
      </c>
      <c r="H25" s="50"/>
      <c r="I25" s="50"/>
      <c r="J25" s="52" t="n">
        <f aca="false">IFERROR(I25/H25,0)</f>
        <v>0</v>
      </c>
      <c r="K25" s="10" t="str">
        <f aca="false">IF(F25&gt;0,IF(J25&gt;0.9,"🔴 OOM/Queue Full","🟡 Queue Overflow"),"✅ None")</f>
        <v>✅ None</v>
      </c>
    </row>
    <row r="26" customFormat="false" ht="18" hidden="false" customHeight="true" outlineLevel="0" collapsed="false">
      <c r="B26" s="48"/>
      <c r="C26" s="46"/>
      <c r="D26" s="50"/>
      <c r="E26" s="50"/>
      <c r="F26" s="50"/>
      <c r="G26" s="51" t="n">
        <f aca="false">IFERROR(F26/(E26+F26),0)</f>
        <v>0</v>
      </c>
      <c r="H26" s="50"/>
      <c r="I26" s="50"/>
      <c r="J26" s="52" t="n">
        <f aca="false">IFERROR(I26/H26,0)</f>
        <v>0</v>
      </c>
      <c r="K26" s="16" t="str">
        <f aca="false">IF(F26&gt;0,IF(J26&gt;0.9,"🔴 OOM/Queue Full","🟡 Queue Overflow"),"✅ None")</f>
        <v>✅ None</v>
      </c>
    </row>
    <row r="27" customFormat="false" ht="18" hidden="false" customHeight="true" outlineLevel="0" collapsed="false">
      <c r="B27" s="49"/>
      <c r="C27" s="46"/>
      <c r="D27" s="50"/>
      <c r="E27" s="50"/>
      <c r="F27" s="50"/>
      <c r="G27" s="51" t="n">
        <f aca="false">IFERROR(F27/(E27+F27),0)</f>
        <v>0</v>
      </c>
      <c r="H27" s="50"/>
      <c r="I27" s="50"/>
      <c r="J27" s="52" t="n">
        <f aca="false">IFERROR(I27/H27,0)</f>
        <v>0</v>
      </c>
      <c r="K27" s="10" t="str">
        <f aca="false">IF(F27&gt;0,IF(J27&gt;0.9,"🔴 OOM/Queue Full","🟡 Queue Overflow"),"✅ None")</f>
        <v>✅ None</v>
      </c>
    </row>
    <row r="28" customFormat="false" ht="18" hidden="false" customHeight="true" outlineLevel="0" collapsed="false">
      <c r="B28" s="48"/>
      <c r="C28" s="46"/>
      <c r="D28" s="50"/>
      <c r="E28" s="50"/>
      <c r="F28" s="50"/>
      <c r="G28" s="51" t="n">
        <f aca="false">IFERROR(F28/(E28+F28),0)</f>
        <v>0</v>
      </c>
      <c r="H28" s="50"/>
      <c r="I28" s="50"/>
      <c r="J28" s="52" t="n">
        <f aca="false">IFERROR(I28/H28,0)</f>
        <v>0</v>
      </c>
      <c r="K28" s="16" t="str">
        <f aca="false">IF(F28&gt;0,IF(J28&gt;0.9,"🔴 OOM/Queue Full","🟡 Queue Overflow"),"✅ None")</f>
        <v>✅ None</v>
      </c>
    </row>
    <row r="29" customFormat="false" ht="18" hidden="false" customHeight="true" outlineLevel="0" collapsed="false">
      <c r="B29" s="49"/>
      <c r="C29" s="46"/>
      <c r="D29" s="50"/>
      <c r="E29" s="50"/>
      <c r="F29" s="50"/>
      <c r="G29" s="51" t="n">
        <f aca="false">IFERROR(F29/(E29+F29),0)</f>
        <v>0</v>
      </c>
      <c r="H29" s="50"/>
      <c r="I29" s="50"/>
      <c r="J29" s="52" t="n">
        <f aca="false">IFERROR(I29/H29,0)</f>
        <v>0</v>
      </c>
      <c r="K29" s="10" t="str">
        <f aca="false">IF(F29&gt;0,IF(J29&gt;0.9,"🔴 OOM/Queue Full","🟡 Queue Overflow"),"✅ None")</f>
        <v>✅ None</v>
      </c>
    </row>
    <row r="30" customFormat="false" ht="18" hidden="false" customHeight="true" outlineLevel="0" collapsed="false">
      <c r="B30" s="48"/>
      <c r="C30" s="46"/>
      <c r="D30" s="50"/>
      <c r="E30" s="50"/>
      <c r="F30" s="50"/>
      <c r="G30" s="51" t="n">
        <f aca="false">IFERROR(F30/(E30+F30),0)</f>
        <v>0</v>
      </c>
      <c r="H30" s="50"/>
      <c r="I30" s="50"/>
      <c r="J30" s="52" t="n">
        <f aca="false">IFERROR(I30/H30,0)</f>
        <v>0</v>
      </c>
      <c r="K30" s="16" t="str">
        <f aca="false">IF(F30&gt;0,IF(J30&gt;0.9,"🔴 OOM/Queue Full","🟡 Queue Overflow"),"✅ None")</f>
        <v>✅ None</v>
      </c>
    </row>
    <row r="31" customFormat="false" ht="18" hidden="false" customHeight="true" outlineLevel="0" collapsed="false">
      <c r="B31" s="49"/>
      <c r="C31" s="46"/>
      <c r="D31" s="50"/>
      <c r="E31" s="50"/>
      <c r="F31" s="50"/>
      <c r="G31" s="51" t="n">
        <f aca="false">IFERROR(F31/(E31+F31),0)</f>
        <v>0</v>
      </c>
      <c r="H31" s="50"/>
      <c r="I31" s="50"/>
      <c r="J31" s="52" t="n">
        <f aca="false">IFERROR(I31/H31,0)</f>
        <v>0</v>
      </c>
      <c r="K31" s="10" t="str">
        <f aca="false">IF(F31&gt;0,IF(J31&gt;0.9,"🔴 OOM/Queue Full","🟡 Queue Overflow"),"✅ None")</f>
        <v>✅ None</v>
      </c>
    </row>
    <row r="32" customFormat="false" ht="18" hidden="false" customHeight="true" outlineLevel="0" collapsed="false">
      <c r="B32" s="48"/>
      <c r="C32" s="46"/>
      <c r="D32" s="50"/>
      <c r="E32" s="50"/>
      <c r="F32" s="50"/>
      <c r="G32" s="51" t="n">
        <f aca="false">IFERROR(F32/(E32+F32),0)</f>
        <v>0</v>
      </c>
      <c r="H32" s="50"/>
      <c r="I32" s="50"/>
      <c r="J32" s="52" t="n">
        <f aca="false">IFERROR(I32/H32,0)</f>
        <v>0</v>
      </c>
      <c r="K32" s="16" t="str">
        <f aca="false">IF(F32&gt;0,IF(J32&gt;0.9,"🔴 OOM/Queue Full","🟡 Queue Overflow"),"✅ None")</f>
        <v>✅ None</v>
      </c>
    </row>
    <row r="33" customFormat="false" ht="18" hidden="false" customHeight="true" outlineLevel="0" collapsed="false">
      <c r="B33" s="49"/>
      <c r="C33" s="46"/>
      <c r="D33" s="50"/>
      <c r="E33" s="50"/>
      <c r="F33" s="50"/>
      <c r="G33" s="51" t="n">
        <f aca="false">IFERROR(F33/(E33+F33),0)</f>
        <v>0</v>
      </c>
      <c r="H33" s="50"/>
      <c r="I33" s="50"/>
      <c r="J33" s="52" t="n">
        <f aca="false">IFERROR(I33/H33,0)</f>
        <v>0</v>
      </c>
      <c r="K33" s="10" t="str">
        <f aca="false">IF(F33&gt;0,IF(J33&gt;0.9,"🔴 OOM/Queue Full","🟡 Queue Overflow"),"✅ None")</f>
        <v>✅ None</v>
      </c>
    </row>
    <row r="34" customFormat="false" ht="18" hidden="false" customHeight="true" outlineLevel="0" collapsed="false">
      <c r="B34" s="48"/>
      <c r="C34" s="46"/>
      <c r="D34" s="50"/>
      <c r="E34" s="50"/>
      <c r="F34" s="50"/>
      <c r="G34" s="51" t="n">
        <f aca="false">IFERROR(F34/(E34+F34),0)</f>
        <v>0</v>
      </c>
      <c r="H34" s="50"/>
      <c r="I34" s="50"/>
      <c r="J34" s="52" t="n">
        <f aca="false">IFERROR(I34/H34,0)</f>
        <v>0</v>
      </c>
      <c r="K34" s="16" t="str">
        <f aca="false">IF(F34&gt;0,IF(J34&gt;0.9,"🔴 OOM/Queue Full","🟡 Queue Overflow"),"✅ None")</f>
        <v>✅ None</v>
      </c>
    </row>
    <row r="35" customFormat="false" ht="18" hidden="false" customHeight="true" outlineLevel="0" collapsed="false">
      <c r="B35" s="49"/>
      <c r="C35" s="46"/>
      <c r="D35" s="50"/>
      <c r="E35" s="50"/>
      <c r="F35" s="50"/>
      <c r="G35" s="51" t="n">
        <f aca="false">IFERROR(F35/(E35+F35),0)</f>
        <v>0</v>
      </c>
      <c r="H35" s="50"/>
      <c r="I35" s="50"/>
      <c r="J35" s="52" t="n">
        <f aca="false">IFERROR(I35/H35,0)</f>
        <v>0</v>
      </c>
      <c r="K35" s="10" t="str">
        <f aca="false">IF(F35&gt;0,IF(J35&gt;0.9,"🔴 OOM/Queue Full","🟡 Queue Overflow"),"✅ None")</f>
        <v>✅ None</v>
      </c>
    </row>
    <row r="36" customFormat="false" ht="18" hidden="false" customHeight="true" outlineLevel="0" collapsed="false">
      <c r="B36" s="48"/>
      <c r="C36" s="46"/>
      <c r="D36" s="50"/>
      <c r="E36" s="50"/>
      <c r="F36" s="50"/>
      <c r="G36" s="51" t="n">
        <f aca="false">IFERROR(F36/(E36+F36),0)</f>
        <v>0</v>
      </c>
      <c r="H36" s="50"/>
      <c r="I36" s="50"/>
      <c r="J36" s="52" t="n">
        <f aca="false">IFERROR(I36/H36,0)</f>
        <v>0</v>
      </c>
      <c r="K36" s="16" t="str">
        <f aca="false">IF(F36&gt;0,IF(J36&gt;0.9,"🔴 OOM/Queue Full","🟡 Queue Overflow"),"✅ None")</f>
        <v>✅ None</v>
      </c>
    </row>
    <row r="37" customFormat="false" ht="18" hidden="false" customHeight="true" outlineLevel="0" collapsed="false">
      <c r="B37" s="49"/>
      <c r="C37" s="46"/>
      <c r="D37" s="50"/>
      <c r="E37" s="50"/>
      <c r="F37" s="50"/>
      <c r="G37" s="51" t="n">
        <f aca="false">IFERROR(F37/(E37+F37),0)</f>
        <v>0</v>
      </c>
      <c r="H37" s="50"/>
      <c r="I37" s="50"/>
      <c r="J37" s="52" t="n">
        <f aca="false">IFERROR(I37/H37,0)</f>
        <v>0</v>
      </c>
      <c r="K37" s="10" t="str">
        <f aca="false">IF(F37&gt;0,IF(J37&gt;0.9,"🔴 OOM/Queue Full","🟡 Queue Overflow"),"✅ None")</f>
        <v>✅ None</v>
      </c>
    </row>
    <row r="38" customFormat="false" ht="18" hidden="false" customHeight="true" outlineLevel="0" collapsed="false">
      <c r="B38" s="48"/>
      <c r="C38" s="46"/>
      <c r="D38" s="50"/>
      <c r="E38" s="50"/>
      <c r="F38" s="50"/>
      <c r="G38" s="51" t="n">
        <f aca="false">IFERROR(F38/(E38+F38),0)</f>
        <v>0</v>
      </c>
      <c r="H38" s="50"/>
      <c r="I38" s="50"/>
      <c r="J38" s="52" t="n">
        <f aca="false">IFERROR(I38/H38,0)</f>
        <v>0</v>
      </c>
      <c r="K38" s="16" t="str">
        <f aca="false">IF(F38&gt;0,IF(J38&gt;0.9,"🔴 OOM/Queue Full","🟡 Queue Overflow"),"✅ None")</f>
        <v>✅ None</v>
      </c>
    </row>
    <row r="39" customFormat="false" ht="18" hidden="false" customHeight="true" outlineLevel="0" collapsed="false">
      <c r="B39" s="49"/>
      <c r="C39" s="46"/>
      <c r="D39" s="50"/>
      <c r="E39" s="50"/>
      <c r="F39" s="50"/>
      <c r="G39" s="51" t="n">
        <f aca="false">IFERROR(F39/(E39+F39),0)</f>
        <v>0</v>
      </c>
      <c r="H39" s="50"/>
      <c r="I39" s="50"/>
      <c r="J39" s="52" t="n">
        <f aca="false">IFERROR(I39/H39,0)</f>
        <v>0</v>
      </c>
      <c r="K39" s="10" t="str">
        <f aca="false">IF(F39&gt;0,IF(J39&gt;0.9,"🔴 OOM/Queue Full","🟡 Queue Overflow"),"✅ None")</f>
        <v>✅ None</v>
      </c>
    </row>
    <row r="40" customFormat="false" ht="18" hidden="false" customHeight="true" outlineLevel="0" collapsed="false">
      <c r="B40" s="48"/>
      <c r="C40" s="46"/>
      <c r="D40" s="50"/>
      <c r="E40" s="50"/>
      <c r="F40" s="50"/>
      <c r="G40" s="51" t="n">
        <f aca="false">IFERROR(F40/(E40+F40),0)</f>
        <v>0</v>
      </c>
      <c r="H40" s="50"/>
      <c r="I40" s="50"/>
      <c r="J40" s="52" t="n">
        <f aca="false">IFERROR(I40/H40,0)</f>
        <v>0</v>
      </c>
      <c r="K40" s="16" t="str">
        <f aca="false">IF(F40&gt;0,IF(J40&gt;0.9,"🔴 OOM/Queue Full","🟡 Queue Overflow"),"✅ None")</f>
        <v>✅ None</v>
      </c>
    </row>
    <row r="41" customFormat="false" ht="18" hidden="false" customHeight="true" outlineLevel="0" collapsed="false">
      <c r="B41" s="49"/>
      <c r="C41" s="46"/>
      <c r="D41" s="50"/>
      <c r="E41" s="50"/>
      <c r="F41" s="50"/>
      <c r="G41" s="51" t="n">
        <f aca="false">IFERROR(F41/(E41+F41),0)</f>
        <v>0</v>
      </c>
      <c r="H41" s="50"/>
      <c r="I41" s="50"/>
      <c r="J41" s="52" t="n">
        <f aca="false">IFERROR(I41/H41,0)</f>
        <v>0</v>
      </c>
      <c r="K41" s="10" t="str">
        <f aca="false">IF(F41&gt;0,IF(J41&gt;0.9,"🔴 OOM/Queue Full","🟡 Queue Overflow"),"✅ None")</f>
        <v>✅ None</v>
      </c>
    </row>
    <row r="42" customFormat="false" ht="18" hidden="false" customHeight="true" outlineLevel="0" collapsed="false">
      <c r="B42" s="48"/>
      <c r="C42" s="46"/>
      <c r="D42" s="50"/>
      <c r="E42" s="50"/>
      <c r="F42" s="50"/>
      <c r="G42" s="51" t="n">
        <f aca="false">IFERROR(F42/(E42+F42),0)</f>
        <v>0</v>
      </c>
      <c r="H42" s="50"/>
      <c r="I42" s="50"/>
      <c r="J42" s="52" t="n">
        <f aca="false">IFERROR(I42/H42,0)</f>
        <v>0</v>
      </c>
      <c r="K42" s="16" t="str">
        <f aca="false">IF(F42&gt;0,IF(J42&gt;0.9,"🔴 OOM/Queue Full","🟡 Queue Overflow"),"✅ None")</f>
        <v>✅ None</v>
      </c>
    </row>
    <row r="43" customFormat="false" ht="18" hidden="false" customHeight="true" outlineLevel="0" collapsed="false">
      <c r="B43" s="49"/>
      <c r="C43" s="46"/>
      <c r="D43" s="50"/>
      <c r="E43" s="50"/>
      <c r="F43" s="50"/>
      <c r="G43" s="51" t="n">
        <f aca="false">IFERROR(F43/(E43+F43),0)</f>
        <v>0</v>
      </c>
      <c r="H43" s="50"/>
      <c r="I43" s="50"/>
      <c r="J43" s="52" t="n">
        <f aca="false">IFERROR(I43/H43,0)</f>
        <v>0</v>
      </c>
      <c r="K43" s="10" t="str">
        <f aca="false">IF(F43&gt;0,IF(J43&gt;0.9,"🔴 OOM/Queue Full","🟡 Queue Overflow"),"✅ None")</f>
        <v>✅ None</v>
      </c>
    </row>
    <row r="44" customFormat="false" ht="18" hidden="false" customHeight="true" outlineLevel="0" collapsed="false">
      <c r="B44" s="48"/>
      <c r="C44" s="46"/>
      <c r="D44" s="50"/>
      <c r="E44" s="50"/>
      <c r="F44" s="50"/>
      <c r="G44" s="51" t="n">
        <f aca="false">IFERROR(F44/(E44+F44),0)</f>
        <v>0</v>
      </c>
      <c r="H44" s="50"/>
      <c r="I44" s="50"/>
      <c r="J44" s="52" t="n">
        <f aca="false">IFERROR(I44/H44,0)</f>
        <v>0</v>
      </c>
      <c r="K44" s="16" t="str">
        <f aca="false">IF(F44&gt;0,IF(J44&gt;0.9,"🔴 OOM/Queue Full","🟡 Queue Overflow"),"✅ None")</f>
        <v>✅ None</v>
      </c>
    </row>
    <row r="45" customFormat="false" ht="18" hidden="false" customHeight="true" outlineLevel="0" collapsed="false">
      <c r="B45" s="49"/>
      <c r="C45" s="46"/>
      <c r="D45" s="50"/>
      <c r="E45" s="50"/>
      <c r="F45" s="50"/>
      <c r="G45" s="51" t="n">
        <f aca="false">IFERROR(F45/(E45+F45),0)</f>
        <v>0</v>
      </c>
      <c r="H45" s="50"/>
      <c r="I45" s="50"/>
      <c r="J45" s="52" t="n">
        <f aca="false">IFERROR(I45/H45,0)</f>
        <v>0</v>
      </c>
      <c r="K45" s="10" t="str">
        <f aca="false">IF(F45&gt;0,IF(J45&gt;0.9,"🔴 OOM/Queue Full","🟡 Queue Overflow"),"✅ None")</f>
        <v>✅ None</v>
      </c>
    </row>
    <row r="46" customFormat="false" ht="18" hidden="false" customHeight="true" outlineLevel="0" collapsed="false">
      <c r="B46" s="48"/>
      <c r="C46" s="46"/>
      <c r="D46" s="50"/>
      <c r="E46" s="50"/>
      <c r="F46" s="50"/>
      <c r="G46" s="51" t="n">
        <f aca="false">IFERROR(F46/(E46+F46),0)</f>
        <v>0</v>
      </c>
      <c r="H46" s="50"/>
      <c r="I46" s="50"/>
      <c r="J46" s="52" t="n">
        <f aca="false">IFERROR(I46/H46,0)</f>
        <v>0</v>
      </c>
      <c r="K46" s="16" t="str">
        <f aca="false">IF(F46&gt;0,IF(J46&gt;0.9,"🔴 OOM/Queue Full","🟡 Queue Overflow"),"✅ None")</f>
        <v>✅ None</v>
      </c>
    </row>
    <row r="47" customFormat="false" ht="18" hidden="false" customHeight="true" outlineLevel="0" collapsed="false">
      <c r="B47" s="49"/>
      <c r="C47" s="46"/>
      <c r="D47" s="50"/>
      <c r="E47" s="50"/>
      <c r="F47" s="50"/>
      <c r="G47" s="51" t="n">
        <f aca="false">IFERROR(F47/(E47+F47),0)</f>
        <v>0</v>
      </c>
      <c r="H47" s="50"/>
      <c r="I47" s="50"/>
      <c r="J47" s="52" t="n">
        <f aca="false">IFERROR(I47/H47,0)</f>
        <v>0</v>
      </c>
      <c r="K47" s="10" t="str">
        <f aca="false">IF(F47&gt;0,IF(J47&gt;0.9,"🔴 OOM/Queue Full","🟡 Queue Overflow"),"✅ None")</f>
        <v>✅ None</v>
      </c>
    </row>
    <row r="48" customFormat="false" ht="18" hidden="false" customHeight="true" outlineLevel="0" collapsed="false">
      <c r="B48" s="48"/>
      <c r="C48" s="46"/>
      <c r="D48" s="50"/>
      <c r="E48" s="50"/>
      <c r="F48" s="50"/>
      <c r="G48" s="51" t="n">
        <f aca="false">IFERROR(F48/(E48+F48),0)</f>
        <v>0</v>
      </c>
      <c r="H48" s="50"/>
      <c r="I48" s="50"/>
      <c r="J48" s="52" t="n">
        <f aca="false">IFERROR(I48/H48,0)</f>
        <v>0</v>
      </c>
      <c r="K48" s="16" t="str">
        <f aca="false">IF(F48&gt;0,IF(J48&gt;0.9,"🔴 OOM/Queue Full","🟡 Queue Overflow"),"✅ None")</f>
        <v>✅ None</v>
      </c>
    </row>
    <row r="49" customFormat="false" ht="18" hidden="false" customHeight="true" outlineLevel="0" collapsed="false">
      <c r="B49" s="49"/>
      <c r="C49" s="46"/>
      <c r="D49" s="50"/>
      <c r="E49" s="50"/>
      <c r="F49" s="50"/>
      <c r="G49" s="51" t="n">
        <f aca="false">IFERROR(F49/(E49+F49),0)</f>
        <v>0</v>
      </c>
      <c r="H49" s="50"/>
      <c r="I49" s="50"/>
      <c r="J49" s="52" t="n">
        <f aca="false">IFERROR(I49/H49,0)</f>
        <v>0</v>
      </c>
      <c r="K49" s="10" t="str">
        <f aca="false">IF(F49&gt;0,IF(J49&gt;0.9,"🔴 OOM/Queue Full","🟡 Queue Overflow"),"✅ None")</f>
        <v>✅ None</v>
      </c>
    </row>
    <row r="50" customFormat="false" ht="18" hidden="false" customHeight="true" outlineLevel="0" collapsed="false">
      <c r="B50" s="48"/>
      <c r="C50" s="46"/>
      <c r="D50" s="50"/>
      <c r="E50" s="50"/>
      <c r="F50" s="50"/>
      <c r="G50" s="51" t="n">
        <f aca="false">IFERROR(F50/(E50+F50),0)</f>
        <v>0</v>
      </c>
      <c r="H50" s="50"/>
      <c r="I50" s="50"/>
      <c r="J50" s="52" t="n">
        <f aca="false">IFERROR(I50/H50,0)</f>
        <v>0</v>
      </c>
      <c r="K50" s="16" t="str">
        <f aca="false">IF(F50&gt;0,IF(J50&gt;0.9,"🔴 OOM/Queue Full","🟡 Queue Overflow"),"✅ None")</f>
        <v>✅ None</v>
      </c>
    </row>
    <row r="51" customFormat="false" ht="18" hidden="false" customHeight="true" outlineLevel="0" collapsed="false">
      <c r="B51" s="49"/>
      <c r="C51" s="46"/>
      <c r="D51" s="50"/>
      <c r="E51" s="50"/>
      <c r="F51" s="50"/>
      <c r="G51" s="51" t="n">
        <f aca="false">IFERROR(F51/(E51+F51),0)</f>
        <v>0</v>
      </c>
      <c r="H51" s="50"/>
      <c r="I51" s="50"/>
      <c r="J51" s="52" t="n">
        <f aca="false">IFERROR(I51/H51,0)</f>
        <v>0</v>
      </c>
      <c r="K51" s="10" t="str">
        <f aca="false">IF(F51&gt;0,IF(J51&gt;0.9,"🔴 OOM/Queue Full","🟡 Queue Overflow"),"✅ None")</f>
        <v>✅ None</v>
      </c>
    </row>
    <row r="52" customFormat="false" ht="18" hidden="false" customHeight="true" outlineLevel="0" collapsed="false">
      <c r="B52" s="48"/>
      <c r="C52" s="46"/>
      <c r="D52" s="50"/>
      <c r="E52" s="50"/>
      <c r="F52" s="50"/>
      <c r="G52" s="51" t="n">
        <f aca="false">IFERROR(F52/(E52+F52),0)</f>
        <v>0</v>
      </c>
      <c r="H52" s="50"/>
      <c r="I52" s="50"/>
      <c r="J52" s="52" t="n">
        <f aca="false">IFERROR(I52/H52,0)</f>
        <v>0</v>
      </c>
      <c r="K52" s="16" t="str">
        <f aca="false">IF(F52&gt;0,IF(J52&gt;0.9,"🔴 OOM/Queue Full","🟡 Queue Overflow"),"✅ None")</f>
        <v>✅ None</v>
      </c>
    </row>
    <row r="53" customFormat="false" ht="18" hidden="false" customHeight="true" outlineLevel="0" collapsed="false">
      <c r="B53" s="49"/>
      <c r="C53" s="46"/>
      <c r="D53" s="50"/>
      <c r="E53" s="50"/>
      <c r="F53" s="50"/>
      <c r="G53" s="51" t="n">
        <f aca="false">IFERROR(F53/(E53+F53),0)</f>
        <v>0</v>
      </c>
      <c r="H53" s="50"/>
      <c r="I53" s="50"/>
      <c r="J53" s="52" t="n">
        <f aca="false">IFERROR(I53/H53,0)</f>
        <v>0</v>
      </c>
      <c r="K53" s="10" t="str">
        <f aca="false">IF(F53&gt;0,IF(J53&gt;0.9,"🔴 OOM/Queue Full","🟡 Queue Overflow"),"✅ None")</f>
        <v>✅ None</v>
      </c>
    </row>
    <row r="54" customFormat="false" ht="18" hidden="false" customHeight="true" outlineLevel="0" collapsed="false">
      <c r="B54" s="48"/>
      <c r="C54" s="46"/>
      <c r="D54" s="50"/>
      <c r="E54" s="50"/>
      <c r="F54" s="50"/>
      <c r="G54" s="51" t="n">
        <f aca="false">IFERROR(F54/(E54+F54),0)</f>
        <v>0</v>
      </c>
      <c r="H54" s="50"/>
      <c r="I54" s="50"/>
      <c r="J54" s="52" t="n">
        <f aca="false">IFERROR(I54/H54,0)</f>
        <v>0</v>
      </c>
      <c r="K54" s="16" t="str">
        <f aca="false">IF(F54&gt;0,IF(J54&gt;0.9,"🔴 OOM/Queue Full","🟡 Queue Overflow"),"✅ None")</f>
        <v>✅ None</v>
      </c>
    </row>
    <row r="55" customFormat="false" ht="18" hidden="false" customHeight="true" outlineLevel="0" collapsed="false">
      <c r="B55" s="49"/>
      <c r="C55" s="46"/>
      <c r="D55" s="50"/>
      <c r="E55" s="50"/>
      <c r="F55" s="50"/>
      <c r="G55" s="51" t="n">
        <f aca="false">IFERROR(F55/(E55+F55),0)</f>
        <v>0</v>
      </c>
      <c r="H55" s="50"/>
      <c r="I55" s="50"/>
      <c r="J55" s="52" t="n">
        <f aca="false">IFERROR(I55/H55,0)</f>
        <v>0</v>
      </c>
      <c r="K55" s="10" t="str">
        <f aca="false">IF(F55&gt;0,IF(J55&gt;0.9,"🔴 OOM/Queue Full","🟡 Queue Overflow"),"✅ None")</f>
        <v>✅ None</v>
      </c>
    </row>
    <row r="56" customFormat="false" ht="18" hidden="false" customHeight="true" outlineLevel="0" collapsed="false">
      <c r="B56" s="48"/>
      <c r="C56" s="46"/>
      <c r="D56" s="50"/>
      <c r="E56" s="50"/>
      <c r="F56" s="50"/>
      <c r="G56" s="51" t="n">
        <f aca="false">IFERROR(F56/(E56+F56),0)</f>
        <v>0</v>
      </c>
      <c r="H56" s="50"/>
      <c r="I56" s="50"/>
      <c r="J56" s="52" t="n">
        <f aca="false">IFERROR(I56/H56,0)</f>
        <v>0</v>
      </c>
      <c r="K56" s="16" t="str">
        <f aca="false">IF(F56&gt;0,IF(J56&gt;0.9,"🔴 OOM/Queue Full","🟡 Queue Overflow"),"✅ None")</f>
        <v>✅ None</v>
      </c>
    </row>
  </sheetData>
  <mergeCells count="3">
    <mergeCell ref="B1:K1"/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38"/>
    <col collapsed="false" customWidth="true" hidden="false" outlineLevel="0" max="6" min="6" style="0" width="3"/>
  </cols>
  <sheetData>
    <row r="1" customFormat="false" ht="31.5" hidden="false" customHeight="true" outlineLevel="0" collapsed="false">
      <c r="B1" s="39" t="s">
        <v>178</v>
      </c>
      <c r="C1" s="39"/>
      <c r="D1" s="39"/>
      <c r="E1" s="39"/>
    </row>
    <row r="3" customFormat="false" ht="21.75" hidden="false" customHeight="true" outlineLevel="0" collapsed="false">
      <c r="B3" s="65" t="s">
        <v>115</v>
      </c>
      <c r="C3" s="65"/>
      <c r="D3" s="65"/>
      <c r="E3" s="65"/>
    </row>
    <row r="4" customFormat="false" ht="19.5" hidden="false" customHeight="true" outlineLevel="0" collapsed="false">
      <c r="B4" s="53" t="s">
        <v>116</v>
      </c>
      <c r="C4" s="54" t="n">
        <f aca="false">'🖥 DC2 Inventory'!C4</f>
        <v>2</v>
      </c>
      <c r="D4" s="45" t="s">
        <v>117</v>
      </c>
    </row>
    <row r="5" customFormat="false" ht="19.5" hidden="false" customHeight="true" outlineLevel="0" collapsed="false">
      <c r="B5" s="53" t="s">
        <v>118</v>
      </c>
      <c r="C5" s="52" t="n">
        <f aca="false">'🖥 DC2 Inventory'!H4</f>
        <v>0.8</v>
      </c>
      <c r="D5" s="45" t="s">
        <v>119</v>
      </c>
    </row>
    <row r="6" customFormat="false" ht="19.5" hidden="false" customHeight="true" outlineLevel="0" collapsed="false">
      <c r="B6" s="53" t="s">
        <v>120</v>
      </c>
      <c r="C6" s="52" t="n">
        <f aca="false">'🖥 DC2 Inventory'!I4</f>
        <v>0.835</v>
      </c>
      <c r="D6" s="45" t="s">
        <v>119</v>
      </c>
    </row>
    <row r="7" customFormat="false" ht="19.5" hidden="false" customHeight="true" outlineLevel="0" collapsed="false">
      <c r="B7" s="53" t="s">
        <v>121</v>
      </c>
      <c r="C7" s="54" t="n">
        <f aca="false">'🖥 DC2 Inventory'!D4</f>
        <v>32</v>
      </c>
      <c r="D7" s="45" t="s">
        <v>84</v>
      </c>
    </row>
    <row r="8" customFormat="false" ht="19.5" hidden="false" customHeight="true" outlineLevel="0" collapsed="false">
      <c r="B8" s="53" t="s">
        <v>122</v>
      </c>
      <c r="C8" s="54" t="n">
        <f aca="false">'🖥 DC2 Inventory'!E4</f>
        <v>128</v>
      </c>
      <c r="D8" s="45" t="s">
        <v>123</v>
      </c>
    </row>
    <row r="9" customFormat="false" ht="19.5" hidden="false" customHeight="true" outlineLevel="0" collapsed="false">
      <c r="B9" s="53" t="s">
        <v>124</v>
      </c>
      <c r="C9" s="54" t="n">
        <f aca="false">'📡 DC2 Metrics'!C4</f>
        <v>134000</v>
      </c>
      <c r="D9" s="45" t="s">
        <v>125</v>
      </c>
    </row>
    <row r="10" customFormat="false" ht="19.5" hidden="false" customHeight="true" outlineLevel="0" collapsed="false">
      <c r="B10" s="53" t="s">
        <v>126</v>
      </c>
      <c r="C10" s="54" t="n">
        <f aca="false">'📡 DC2 Metrics'!D4</f>
        <v>7700</v>
      </c>
      <c r="D10" s="45" t="s">
        <v>127</v>
      </c>
    </row>
    <row r="11" customFormat="false" ht="19.5" hidden="false" customHeight="true" outlineLevel="0" collapsed="false">
      <c r="B11" s="53" t="s">
        <v>128</v>
      </c>
      <c r="C11" s="51" t="n">
        <f aca="false">'📡 DC2 Metrics'!E4</f>
        <v>0.0543401552575865</v>
      </c>
      <c r="D11" s="45" t="s">
        <v>119</v>
      </c>
    </row>
    <row r="12" customFormat="false" ht="19.5" hidden="false" customHeight="true" outlineLevel="0" collapsed="false">
      <c r="B12" s="53" t="s">
        <v>129</v>
      </c>
      <c r="C12" s="55" t="n">
        <f aca="false">'📡 DC2 Metrics'!G4</f>
        <v>2</v>
      </c>
      <c r="D12" s="45" t="s">
        <v>117</v>
      </c>
    </row>
    <row r="14" customFormat="false" ht="21.75" hidden="false" customHeight="true" outlineLevel="0" collapsed="false">
      <c r="B14" s="65" t="s">
        <v>130</v>
      </c>
      <c r="C14" s="65"/>
      <c r="D14" s="65"/>
      <c r="E14" s="65"/>
    </row>
    <row r="15" customFormat="false" ht="19.5" hidden="false" customHeight="true" outlineLevel="0" collapsed="false">
      <c r="B15" s="53" t="s">
        <v>131</v>
      </c>
      <c r="C15" s="44" t="n">
        <v>0.65</v>
      </c>
      <c r="D15" s="45" t="s">
        <v>119</v>
      </c>
      <c r="E15" s="45" t="s">
        <v>132</v>
      </c>
    </row>
    <row r="16" customFormat="false" ht="19.5" hidden="false" customHeight="true" outlineLevel="0" collapsed="false">
      <c r="B16" s="53" t="s">
        <v>133</v>
      </c>
      <c r="C16" s="44" t="n">
        <v>0.7</v>
      </c>
      <c r="D16" s="45" t="s">
        <v>119</v>
      </c>
      <c r="E16" s="45" t="s">
        <v>134</v>
      </c>
    </row>
    <row r="17" customFormat="false" ht="19.5" hidden="false" customHeight="true" outlineLevel="0" collapsed="false">
      <c r="B17" s="53" t="s">
        <v>135</v>
      </c>
      <c r="C17" s="44" t="n">
        <v>0.3</v>
      </c>
      <c r="D17" s="45" t="s">
        <v>119</v>
      </c>
      <c r="E17" s="45" t="s">
        <v>136</v>
      </c>
    </row>
    <row r="18" customFormat="false" ht="19.5" hidden="false" customHeight="true" outlineLevel="0" collapsed="false">
      <c r="B18" s="53" t="s">
        <v>137</v>
      </c>
      <c r="C18" s="50" t="n">
        <v>15000</v>
      </c>
      <c r="D18" s="45" t="s">
        <v>125</v>
      </c>
      <c r="E18" s="45" t="s">
        <v>138</v>
      </c>
    </row>
    <row r="19" customFormat="false" ht="19.5" hidden="false" customHeight="true" outlineLevel="0" collapsed="false">
      <c r="B19" s="53" t="s">
        <v>139</v>
      </c>
      <c r="C19" s="56" t="n">
        <v>1.2</v>
      </c>
      <c r="D19" s="45" t="s">
        <v>140</v>
      </c>
      <c r="E19" s="45" t="s">
        <v>141</v>
      </c>
    </row>
    <row r="20" customFormat="false" ht="19.5" hidden="false" customHeight="true" outlineLevel="0" collapsed="false">
      <c r="B20" s="53" t="s">
        <v>142</v>
      </c>
      <c r="C20" s="50" t="n">
        <v>8</v>
      </c>
      <c r="D20" s="45" t="s">
        <v>84</v>
      </c>
      <c r="E20" s="45" t="s">
        <v>143</v>
      </c>
    </row>
    <row r="21" customFormat="false" ht="19.5" hidden="false" customHeight="true" outlineLevel="0" collapsed="false">
      <c r="B21" s="53" t="s">
        <v>144</v>
      </c>
      <c r="C21" s="50" t="n">
        <v>32</v>
      </c>
      <c r="D21" s="45" t="s">
        <v>123</v>
      </c>
      <c r="E21" s="45" t="s">
        <v>143</v>
      </c>
    </row>
    <row r="23" customFormat="false" ht="21.75" hidden="false" customHeight="true" outlineLevel="0" collapsed="false">
      <c r="B23" s="65" t="s">
        <v>145</v>
      </c>
      <c r="C23" s="65"/>
      <c r="D23" s="65"/>
      <c r="E23" s="65"/>
    </row>
    <row r="24" customFormat="false" ht="19.5" hidden="false" customHeight="true" outlineLevel="0" collapsed="false">
      <c r="B24" s="57" t="s">
        <v>146</v>
      </c>
      <c r="C24" s="58" t="n">
        <f aca="false">C10*(1+C17)</f>
        <v>10010</v>
      </c>
      <c r="D24" s="36"/>
      <c r="E24" s="36" t="s">
        <v>147</v>
      </c>
    </row>
    <row r="25" customFormat="false" ht="19.5" hidden="false" customHeight="true" outlineLevel="0" collapsed="false">
      <c r="B25" s="57" t="s">
        <v>148</v>
      </c>
      <c r="C25" s="59" t="n">
        <f aca="false">CEILING(C24/C18,1)</f>
        <v>1</v>
      </c>
      <c r="D25" s="36"/>
      <c r="E25" s="36" t="s">
        <v>149</v>
      </c>
    </row>
    <row r="26" customFormat="false" ht="19.5" hidden="false" customHeight="true" outlineLevel="0" collapsed="false">
      <c r="B26" s="57" t="s">
        <v>150</v>
      </c>
      <c r="C26" s="59" t="n">
        <f aca="false">CEILING(C4*(C5/C15),1)</f>
        <v>3</v>
      </c>
      <c r="D26" s="36"/>
      <c r="E26" s="36" t="s">
        <v>151</v>
      </c>
    </row>
    <row r="27" customFormat="false" ht="19.5" hidden="false" customHeight="true" outlineLevel="0" collapsed="false">
      <c r="B27" s="57" t="s">
        <v>152</v>
      </c>
      <c r="C27" s="59" t="n">
        <f aca="false">CEILING(C4*(C6/C16),1)</f>
        <v>3</v>
      </c>
      <c r="D27" s="36"/>
      <c r="E27" s="36" t="s">
        <v>153</v>
      </c>
    </row>
    <row r="28" customFormat="false" ht="19.5" hidden="false" customHeight="true" outlineLevel="0" collapsed="false">
      <c r="B28" s="57" t="s">
        <v>154</v>
      </c>
      <c r="C28" s="59" t="n">
        <f aca="false">MAX(C25,C26,C27)</f>
        <v>3</v>
      </c>
      <c r="D28" s="36"/>
      <c r="E28" s="36" t="s">
        <v>155</v>
      </c>
    </row>
    <row r="29" customFormat="false" ht="19.5" hidden="false" customHeight="true" outlineLevel="0" collapsed="false">
      <c r="B29" s="57" t="s">
        <v>156</v>
      </c>
      <c r="C29" s="59" t="n">
        <f aca="false">CEILING(C28*C19,1)</f>
        <v>4</v>
      </c>
      <c r="D29" s="36"/>
      <c r="E29" s="36" t="s">
        <v>157</v>
      </c>
    </row>
    <row r="30" customFormat="false" ht="19.5" hidden="false" customHeight="true" outlineLevel="0" collapsed="false">
      <c r="B30" s="60" t="s">
        <v>158</v>
      </c>
      <c r="C30" s="61" t="n">
        <f aca="false">MAX(0,C29-C4)</f>
        <v>2</v>
      </c>
      <c r="D30" s="60" t="s">
        <v>159</v>
      </c>
      <c r="E30" s="62" t="s">
        <v>160</v>
      </c>
    </row>
    <row r="31" customFormat="false" ht="19.5" hidden="false" customHeight="true" outlineLevel="0" collapsed="false">
      <c r="B31" s="57" t="s">
        <v>161</v>
      </c>
      <c r="C31" s="59" t="n">
        <f aca="false">C4+C30</f>
        <v>4</v>
      </c>
      <c r="D31" s="36"/>
      <c r="E31" s="36" t="s">
        <v>162</v>
      </c>
    </row>
    <row r="32" customFormat="false" ht="19.5" hidden="false" customHeight="true" outlineLevel="0" collapsed="false">
      <c r="B32" s="57" t="s">
        <v>163</v>
      </c>
      <c r="C32" s="58" t="n">
        <f aca="false">C30*C20</f>
        <v>16</v>
      </c>
      <c r="D32" s="36"/>
      <c r="E32" s="36" t="s">
        <v>164</v>
      </c>
    </row>
    <row r="33" customFormat="false" ht="19.5" hidden="false" customHeight="true" outlineLevel="0" collapsed="false">
      <c r="B33" s="57" t="s">
        <v>165</v>
      </c>
      <c r="C33" s="58" t="n">
        <f aca="false">C30*C21</f>
        <v>64</v>
      </c>
      <c r="D33" s="36"/>
      <c r="E33" s="36" t="s">
        <v>166</v>
      </c>
    </row>
    <row r="35" customFormat="false" ht="21.75" hidden="false" customHeight="true" outlineLevel="0" collapsed="false">
      <c r="B35" s="65" t="s">
        <v>167</v>
      </c>
      <c r="C35" s="65"/>
      <c r="D35" s="65"/>
      <c r="E35" s="65"/>
    </row>
    <row r="36" customFormat="false" ht="24" hidden="false" customHeight="true" outlineLevel="0" collapsed="false">
      <c r="B36" s="63" t="s">
        <v>168</v>
      </c>
      <c r="C36" s="64" t="str">
        <f aca="false">IF(C30&gt;0,"⚠️  ADD "&amp;C30&amp;" SERVER(S) to DC2-US-West to prevent data loss","✅  Current DC2-US-West fleet is sufficient")</f>
        <v>⚠️  ADD 2 SERVER(S) to DC2-US-West to prevent data loss</v>
      </c>
      <c r="D36" s="64"/>
      <c r="E36" s="64"/>
    </row>
    <row r="37" customFormat="false" ht="24" hidden="false" customHeight="true" outlineLevel="0" collapsed="false">
      <c r="B37" s="63" t="s">
        <v>169</v>
      </c>
      <c r="C37" s="64" t="str">
        <f aca="false">IF(AND(C26&gt;=C25,C26&gt;=C27),"Memory is bottleneck",IF(AND(C27&gt;=C25,C27&gt;=C26),"Span throughput is bottleneck","CPU is bottleneck"))</f>
        <v>Memory is bottleneck</v>
      </c>
      <c r="D37" s="64"/>
      <c r="E37" s="64"/>
    </row>
    <row r="38" customFormat="false" ht="24" hidden="false" customHeight="true" outlineLevel="0" collapsed="false">
      <c r="B38" s="63" t="s">
        <v>21</v>
      </c>
      <c r="C38" s="64" t="str">
        <f aca="false">IF(C11&gt;0,"🔴 IMMEDIATE – Drops actively occurring",IF(C5&gt;0.8,"🟡 HIGH – CPU critical",IF(C6&gt;0.85,"🟡 HIGH – Memory critical","🟢 PLANNED – Scale before growth")))</f>
        <v>🔴 IMMEDIATE – Drops actively occurring</v>
      </c>
      <c r="D38" s="64"/>
      <c r="E38" s="64"/>
    </row>
    <row r="39" customFormat="false" ht="24" hidden="false" customHeight="true" outlineLevel="0" collapsed="false">
      <c r="B39" s="63" t="s">
        <v>170</v>
      </c>
      <c r="C39" s="64" t="str">
        <f aca="false">IF(C11&gt;0,"Scale within 1-2 weeks",IF(C30&gt;0,"Plan scale-out within 1-3 months","No action needed now"))</f>
        <v>Scale within 1-2 weeks</v>
      </c>
      <c r="D39" s="64"/>
      <c r="E39" s="64"/>
    </row>
  </sheetData>
  <mergeCells count="9">
    <mergeCell ref="B1:E1"/>
    <mergeCell ref="B3:E3"/>
    <mergeCell ref="B14:E14"/>
    <mergeCell ref="B23:E23"/>
    <mergeCell ref="B35:E35"/>
    <mergeCell ref="C36:E36"/>
    <mergeCell ref="C37:E37"/>
    <mergeCell ref="C38:E38"/>
    <mergeCell ref="C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1" min="10" style="0" width="14"/>
    <col collapsed="false" customWidth="true" hidden="false" outlineLevel="0" max="12" min="12" style="0" width="20"/>
  </cols>
  <sheetData>
    <row r="1" customFormat="false" ht="31.5" hidden="false" customHeight="true" outlineLevel="0" collapsed="false">
      <c r="B1" s="39" t="s">
        <v>179</v>
      </c>
      <c r="C1" s="39"/>
      <c r="D1" s="39"/>
      <c r="E1" s="39"/>
      <c r="F1" s="39"/>
      <c r="G1" s="39"/>
      <c r="H1" s="39"/>
      <c r="I1" s="39"/>
      <c r="J1" s="39"/>
      <c r="K1" s="39"/>
      <c r="L1" s="39"/>
    </row>
    <row r="2" customFormat="false" ht="15" hidden="false" customHeight="true" outlineLevel="0" collapsed="false">
      <c r="B2" s="40" t="s">
        <v>75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customFormat="false" ht="21.75" hidden="false" customHeight="true" outlineLevel="0" collapsed="false">
      <c r="B3" s="67" t="s">
        <v>180</v>
      </c>
      <c r="C3" s="67"/>
      <c r="D3" s="67"/>
      <c r="E3" s="67"/>
      <c r="F3" s="67"/>
      <c r="G3" s="67"/>
      <c r="H3" s="67"/>
      <c r="I3" s="67"/>
      <c r="J3" s="67"/>
      <c r="K3" s="67"/>
      <c r="L3" s="67"/>
    </row>
    <row r="4" customFormat="false" ht="19.5" hidden="false" customHeight="true" outlineLevel="0" collapsed="false">
      <c r="B4" s="41" t="s">
        <v>77</v>
      </c>
      <c r="C4" s="42" t="n">
        <f aca="false">COUNTA(B7:B56)</f>
        <v>2</v>
      </c>
      <c r="D4" s="42" t="n">
        <f aca="false">SUM(D7:D56)</f>
        <v>12</v>
      </c>
      <c r="E4" s="42" t="n">
        <f aca="false">SUM(E7:E56)</f>
        <v>48</v>
      </c>
      <c r="H4" s="21" t="n">
        <f aca="false">IFERROR(AVERAGEIF(H7:H56,"&gt;0"),0)</f>
        <v>0.415</v>
      </c>
      <c r="I4" s="21" t="n">
        <f aca="false">IFERROR(AVERAGEIF(I7:I56,"&gt;0"),0)</f>
        <v>0.48</v>
      </c>
      <c r="J4" s="42" t="n">
        <f aca="false">COUNTIF(H7:H56,"&gt;"&amp;H5)</f>
        <v>0</v>
      </c>
      <c r="K4" s="42" t="n">
        <f aca="false">COUNTIF(I7:I56,"&gt;"&amp;I5)</f>
        <v>0</v>
      </c>
    </row>
    <row r="5" customFormat="false" ht="18" hidden="false" customHeight="true" outlineLevel="0" collapsed="false">
      <c r="B5" s="43" t="s">
        <v>78</v>
      </c>
      <c r="C5" s="43"/>
      <c r="D5" s="43"/>
      <c r="E5" s="43"/>
      <c r="F5" s="43"/>
      <c r="G5" s="43"/>
      <c r="H5" s="44" t="n">
        <v>0.7</v>
      </c>
      <c r="I5" s="44" t="n">
        <v>0.75</v>
      </c>
      <c r="J5" s="45" t="s">
        <v>79</v>
      </c>
      <c r="K5" s="45" t="s">
        <v>80</v>
      </c>
      <c r="L5" s="45" t="s">
        <v>81</v>
      </c>
    </row>
    <row r="6" customFormat="false" ht="27.75" hidden="false" customHeight="true" outlineLevel="0" collapsed="false">
      <c r="B6" s="68" t="s">
        <v>82</v>
      </c>
      <c r="C6" s="68" t="s">
        <v>83</v>
      </c>
      <c r="D6" s="68" t="s">
        <v>84</v>
      </c>
      <c r="E6" s="68" t="s">
        <v>85</v>
      </c>
      <c r="F6" s="68" t="s">
        <v>86</v>
      </c>
      <c r="G6" s="68" t="s">
        <v>87</v>
      </c>
      <c r="H6" s="68" t="s">
        <v>88</v>
      </c>
      <c r="I6" s="68" t="s">
        <v>89</v>
      </c>
      <c r="J6" s="68" t="s">
        <v>90</v>
      </c>
      <c r="K6" s="68" t="s">
        <v>91</v>
      </c>
      <c r="L6" s="68" t="s">
        <v>92</v>
      </c>
    </row>
    <row r="7" customFormat="false" ht="18" hidden="false" customHeight="true" outlineLevel="0" collapsed="false">
      <c r="B7" s="25" t="s">
        <v>181</v>
      </c>
      <c r="C7" s="25" t="s">
        <v>94</v>
      </c>
      <c r="D7" s="46" t="n">
        <v>8</v>
      </c>
      <c r="E7" s="46" t="n">
        <v>32</v>
      </c>
      <c r="F7" s="25" t="s">
        <v>182</v>
      </c>
      <c r="G7" s="25" t="s">
        <v>99</v>
      </c>
      <c r="H7" s="47" t="n">
        <v>0.45</v>
      </c>
      <c r="I7" s="47" t="n">
        <v>0.52</v>
      </c>
      <c r="J7" s="10" t="str">
        <f aca="false">IF(H7="","",IF(H7&gt;$H$5,"🔴 Over Limit",IF(H7&gt;$H$5*0.9,"🟡 Warning","✅ OK")))</f>
        <v>✅ OK</v>
      </c>
      <c r="K7" s="10" t="str">
        <f aca="false">IF(I7="","",IF(I7&gt;$I$5,"🔴 Over Limit",IF(I7&gt;$I$5*0.9,"🟡 Warning","✅ OK")))</f>
        <v>✅ OK</v>
      </c>
      <c r="L7" s="25" t="s">
        <v>182</v>
      </c>
    </row>
    <row r="8" customFormat="false" ht="18" hidden="false" customHeight="true" outlineLevel="0" collapsed="false">
      <c r="B8" s="28" t="s">
        <v>183</v>
      </c>
      <c r="C8" s="28" t="s">
        <v>184</v>
      </c>
      <c r="D8" s="46" t="n">
        <v>4</v>
      </c>
      <c r="E8" s="46" t="n">
        <v>16</v>
      </c>
      <c r="F8" s="28" t="s">
        <v>182</v>
      </c>
      <c r="G8" s="28" t="s">
        <v>185</v>
      </c>
      <c r="H8" s="47" t="n">
        <v>0.38</v>
      </c>
      <c r="I8" s="47" t="n">
        <v>0.44</v>
      </c>
      <c r="J8" s="16" t="str">
        <f aca="false">IF(H8="","",IF(H8&gt;$H$5,"🔴 Over Limit",IF(H8&gt;$H$5*0.9,"🟡 Warning","✅ OK")))</f>
        <v>✅ OK</v>
      </c>
      <c r="K8" s="16" t="str">
        <f aca="false">IF(I8="","",IF(I8&gt;$I$5,"🔴 Over Limit",IF(I8&gt;$I$5*0.9,"🟡 Warning","✅ OK")))</f>
        <v>✅ OK</v>
      </c>
      <c r="L8" s="28" t="s">
        <v>182</v>
      </c>
    </row>
    <row r="9" customFormat="false" ht="18" hidden="false" customHeight="true" outlineLevel="0" collapsed="false">
      <c r="B9" s="49"/>
      <c r="C9" s="49"/>
      <c r="D9" s="46"/>
      <c r="E9" s="46"/>
      <c r="F9" s="49"/>
      <c r="G9" s="49"/>
      <c r="H9" s="47"/>
      <c r="I9" s="47"/>
      <c r="J9" s="10" t="str">
        <f aca="false">IF(H9="","",IF(H9&gt;$H$5,"🔴 Over Limit",IF(H9&gt;$H$5*0.9,"🟡 Warning","✅ OK")))</f>
        <v/>
      </c>
      <c r="K9" s="10" t="str">
        <f aca="false">IF(I9="","",IF(I9&gt;$I$5,"🔴 Over Limit",IF(I9&gt;$I$5*0.9,"🟡 Warning","✅ OK")))</f>
        <v/>
      </c>
      <c r="L9" s="49"/>
    </row>
    <row r="10" customFormat="false" ht="18" hidden="false" customHeight="true" outlineLevel="0" collapsed="false">
      <c r="B10" s="48"/>
      <c r="C10" s="48"/>
      <c r="D10" s="46"/>
      <c r="E10" s="46"/>
      <c r="F10" s="48"/>
      <c r="G10" s="48"/>
      <c r="H10" s="47"/>
      <c r="I10" s="47"/>
      <c r="J10" s="16" t="str">
        <f aca="false">IF(H10="","",IF(H10&gt;$H$5,"🔴 Over Limit",IF(H10&gt;$H$5*0.9,"🟡 Warning","✅ OK")))</f>
        <v/>
      </c>
      <c r="K10" s="16" t="str">
        <f aca="false">IF(I10="","",IF(I10&gt;$I$5,"🔴 Over Limit",IF(I10&gt;$I$5*0.9,"🟡 Warning","✅ OK")))</f>
        <v/>
      </c>
      <c r="L10" s="48"/>
    </row>
    <row r="11" customFormat="false" ht="18" hidden="false" customHeight="true" outlineLevel="0" collapsed="false">
      <c r="B11" s="49"/>
      <c r="C11" s="49"/>
      <c r="D11" s="46"/>
      <c r="E11" s="46"/>
      <c r="F11" s="49"/>
      <c r="G11" s="49"/>
      <c r="H11" s="47"/>
      <c r="I11" s="47"/>
      <c r="J11" s="10" t="str">
        <f aca="false">IF(H11="","",IF(H11&gt;$H$5,"🔴 Over Limit",IF(H11&gt;$H$5*0.9,"🟡 Warning","✅ OK")))</f>
        <v/>
      </c>
      <c r="K11" s="10" t="str">
        <f aca="false">IF(I11="","",IF(I11&gt;$I$5,"🔴 Over Limit",IF(I11&gt;$I$5*0.9,"🟡 Warning","✅ OK")))</f>
        <v/>
      </c>
      <c r="L11" s="49"/>
    </row>
    <row r="12" customFormat="false" ht="18" hidden="false" customHeight="true" outlineLevel="0" collapsed="false">
      <c r="B12" s="48"/>
      <c r="C12" s="48"/>
      <c r="D12" s="46"/>
      <c r="E12" s="46"/>
      <c r="F12" s="48"/>
      <c r="G12" s="48"/>
      <c r="H12" s="47"/>
      <c r="I12" s="47"/>
      <c r="J12" s="16" t="str">
        <f aca="false">IF(H12="","",IF(H12&gt;$H$5,"🔴 Over Limit",IF(H12&gt;$H$5*0.9,"🟡 Warning","✅ OK")))</f>
        <v/>
      </c>
      <c r="K12" s="16" t="str">
        <f aca="false">IF(I12="","",IF(I12&gt;$I$5,"🔴 Over Limit",IF(I12&gt;$I$5*0.9,"🟡 Warning","✅ OK")))</f>
        <v/>
      </c>
      <c r="L12" s="48"/>
    </row>
    <row r="13" customFormat="false" ht="18" hidden="false" customHeight="true" outlineLevel="0" collapsed="false">
      <c r="B13" s="49"/>
      <c r="C13" s="49"/>
      <c r="D13" s="46"/>
      <c r="E13" s="46"/>
      <c r="F13" s="49"/>
      <c r="G13" s="49"/>
      <c r="H13" s="47"/>
      <c r="I13" s="47"/>
      <c r="J13" s="10" t="str">
        <f aca="false">IF(H13="","",IF(H13&gt;$H$5,"🔴 Over Limit",IF(H13&gt;$H$5*0.9,"🟡 Warning","✅ OK")))</f>
        <v/>
      </c>
      <c r="K13" s="10" t="str">
        <f aca="false">IF(I13="","",IF(I13&gt;$I$5,"🔴 Over Limit",IF(I13&gt;$I$5*0.9,"🟡 Warning","✅ OK")))</f>
        <v/>
      </c>
      <c r="L13" s="49"/>
    </row>
    <row r="14" customFormat="false" ht="18" hidden="false" customHeight="true" outlineLevel="0" collapsed="false">
      <c r="B14" s="48"/>
      <c r="C14" s="48"/>
      <c r="D14" s="46"/>
      <c r="E14" s="46"/>
      <c r="F14" s="48"/>
      <c r="G14" s="48"/>
      <c r="H14" s="47"/>
      <c r="I14" s="47"/>
      <c r="J14" s="16" t="str">
        <f aca="false">IF(H14="","",IF(H14&gt;$H$5,"🔴 Over Limit",IF(H14&gt;$H$5*0.9,"🟡 Warning","✅ OK")))</f>
        <v/>
      </c>
      <c r="K14" s="16" t="str">
        <f aca="false">IF(I14="","",IF(I14&gt;$I$5,"🔴 Over Limit",IF(I14&gt;$I$5*0.9,"🟡 Warning","✅ OK")))</f>
        <v/>
      </c>
      <c r="L14" s="48"/>
    </row>
    <row r="15" customFormat="false" ht="18" hidden="false" customHeight="true" outlineLevel="0" collapsed="false">
      <c r="B15" s="49"/>
      <c r="C15" s="49"/>
      <c r="D15" s="46"/>
      <c r="E15" s="46"/>
      <c r="F15" s="49"/>
      <c r="G15" s="49"/>
      <c r="H15" s="47"/>
      <c r="I15" s="47"/>
      <c r="J15" s="10" t="str">
        <f aca="false">IF(H15="","",IF(H15&gt;$H$5,"🔴 Over Limit",IF(H15&gt;$H$5*0.9,"🟡 Warning","✅ OK")))</f>
        <v/>
      </c>
      <c r="K15" s="10" t="str">
        <f aca="false">IF(I15="","",IF(I15&gt;$I$5,"🔴 Over Limit",IF(I15&gt;$I$5*0.9,"🟡 Warning","✅ OK")))</f>
        <v/>
      </c>
      <c r="L15" s="49"/>
    </row>
    <row r="16" customFormat="false" ht="18" hidden="false" customHeight="true" outlineLevel="0" collapsed="false">
      <c r="B16" s="48"/>
      <c r="C16" s="48"/>
      <c r="D16" s="46"/>
      <c r="E16" s="46"/>
      <c r="F16" s="48"/>
      <c r="G16" s="48"/>
      <c r="H16" s="47"/>
      <c r="I16" s="47"/>
      <c r="J16" s="16" t="str">
        <f aca="false">IF(H16="","",IF(H16&gt;$H$5,"🔴 Over Limit",IF(H16&gt;$H$5*0.9,"🟡 Warning","✅ OK")))</f>
        <v/>
      </c>
      <c r="K16" s="16" t="str">
        <f aca="false">IF(I16="","",IF(I16&gt;$I$5,"🔴 Over Limit",IF(I16&gt;$I$5*0.9,"🟡 Warning","✅ OK")))</f>
        <v/>
      </c>
      <c r="L16" s="48"/>
    </row>
    <row r="17" customFormat="false" ht="18" hidden="false" customHeight="true" outlineLevel="0" collapsed="false">
      <c r="B17" s="49"/>
      <c r="C17" s="49"/>
      <c r="D17" s="46"/>
      <c r="E17" s="46"/>
      <c r="F17" s="49"/>
      <c r="G17" s="49"/>
      <c r="H17" s="47"/>
      <c r="I17" s="47"/>
      <c r="J17" s="10" t="str">
        <f aca="false">IF(H17="","",IF(H17&gt;$H$5,"🔴 Over Limit",IF(H17&gt;$H$5*0.9,"🟡 Warning","✅ OK")))</f>
        <v/>
      </c>
      <c r="K17" s="10" t="str">
        <f aca="false">IF(I17="","",IF(I17&gt;$I$5,"🔴 Over Limit",IF(I17&gt;$I$5*0.9,"🟡 Warning","✅ OK")))</f>
        <v/>
      </c>
      <c r="L17" s="49"/>
    </row>
    <row r="18" customFormat="false" ht="18" hidden="false" customHeight="true" outlineLevel="0" collapsed="false">
      <c r="B18" s="48"/>
      <c r="C18" s="48"/>
      <c r="D18" s="46"/>
      <c r="E18" s="46"/>
      <c r="F18" s="48"/>
      <c r="G18" s="48"/>
      <c r="H18" s="47"/>
      <c r="I18" s="47"/>
      <c r="J18" s="16" t="str">
        <f aca="false">IF(H18="","",IF(H18&gt;$H$5,"🔴 Over Limit",IF(H18&gt;$H$5*0.9,"🟡 Warning","✅ OK")))</f>
        <v/>
      </c>
      <c r="K18" s="16" t="str">
        <f aca="false">IF(I18="","",IF(I18&gt;$I$5,"🔴 Over Limit",IF(I18&gt;$I$5*0.9,"🟡 Warning","✅ OK")))</f>
        <v/>
      </c>
      <c r="L18" s="48"/>
    </row>
    <row r="19" customFormat="false" ht="18" hidden="false" customHeight="true" outlineLevel="0" collapsed="false">
      <c r="B19" s="49"/>
      <c r="C19" s="49"/>
      <c r="D19" s="46"/>
      <c r="E19" s="46"/>
      <c r="F19" s="49"/>
      <c r="G19" s="49"/>
      <c r="H19" s="47"/>
      <c r="I19" s="47"/>
      <c r="J19" s="10" t="str">
        <f aca="false">IF(H19="","",IF(H19&gt;$H$5,"🔴 Over Limit",IF(H19&gt;$H$5*0.9,"🟡 Warning","✅ OK")))</f>
        <v/>
      </c>
      <c r="K19" s="10" t="str">
        <f aca="false">IF(I19="","",IF(I19&gt;$I$5,"🔴 Over Limit",IF(I19&gt;$I$5*0.9,"🟡 Warning","✅ OK")))</f>
        <v/>
      </c>
      <c r="L19" s="49"/>
    </row>
    <row r="20" customFormat="false" ht="18" hidden="false" customHeight="true" outlineLevel="0" collapsed="false">
      <c r="B20" s="48"/>
      <c r="C20" s="48"/>
      <c r="D20" s="46"/>
      <c r="E20" s="46"/>
      <c r="F20" s="48"/>
      <c r="G20" s="48"/>
      <c r="H20" s="47"/>
      <c r="I20" s="47"/>
      <c r="J20" s="16" t="str">
        <f aca="false">IF(H20="","",IF(H20&gt;$H$5,"🔴 Over Limit",IF(H20&gt;$H$5*0.9,"🟡 Warning","✅ OK")))</f>
        <v/>
      </c>
      <c r="K20" s="16" t="str">
        <f aca="false">IF(I20="","",IF(I20&gt;$I$5,"🔴 Over Limit",IF(I20&gt;$I$5*0.9,"🟡 Warning","✅ OK")))</f>
        <v/>
      </c>
      <c r="L20" s="48"/>
    </row>
    <row r="21" customFormat="false" ht="18" hidden="false" customHeight="true" outlineLevel="0" collapsed="false">
      <c r="B21" s="49"/>
      <c r="C21" s="49"/>
      <c r="D21" s="46"/>
      <c r="E21" s="46"/>
      <c r="F21" s="49"/>
      <c r="G21" s="49"/>
      <c r="H21" s="47"/>
      <c r="I21" s="47"/>
      <c r="J21" s="10" t="str">
        <f aca="false">IF(H21="","",IF(H21&gt;$H$5,"🔴 Over Limit",IF(H21&gt;$H$5*0.9,"🟡 Warning","✅ OK")))</f>
        <v/>
      </c>
      <c r="K21" s="10" t="str">
        <f aca="false">IF(I21="","",IF(I21&gt;$I$5,"🔴 Over Limit",IF(I21&gt;$I$5*0.9,"🟡 Warning","✅ OK")))</f>
        <v/>
      </c>
      <c r="L21" s="49"/>
    </row>
    <row r="22" customFormat="false" ht="18" hidden="false" customHeight="true" outlineLevel="0" collapsed="false">
      <c r="B22" s="48"/>
      <c r="C22" s="48"/>
      <c r="D22" s="46"/>
      <c r="E22" s="46"/>
      <c r="F22" s="48"/>
      <c r="G22" s="48"/>
      <c r="H22" s="47"/>
      <c r="I22" s="47"/>
      <c r="J22" s="16" t="str">
        <f aca="false">IF(H22="","",IF(H22&gt;$H$5,"🔴 Over Limit",IF(H22&gt;$H$5*0.9,"🟡 Warning","✅ OK")))</f>
        <v/>
      </c>
      <c r="K22" s="16" t="str">
        <f aca="false">IF(I22="","",IF(I22&gt;$I$5,"🔴 Over Limit",IF(I22&gt;$I$5*0.9,"🟡 Warning","✅ OK")))</f>
        <v/>
      </c>
      <c r="L22" s="48"/>
    </row>
    <row r="23" customFormat="false" ht="18" hidden="false" customHeight="true" outlineLevel="0" collapsed="false">
      <c r="B23" s="49"/>
      <c r="C23" s="49"/>
      <c r="D23" s="46"/>
      <c r="E23" s="46"/>
      <c r="F23" s="49"/>
      <c r="G23" s="49"/>
      <c r="H23" s="47"/>
      <c r="I23" s="47"/>
      <c r="J23" s="10" t="str">
        <f aca="false">IF(H23="","",IF(H23&gt;$H$5,"🔴 Over Limit",IF(H23&gt;$H$5*0.9,"🟡 Warning","✅ OK")))</f>
        <v/>
      </c>
      <c r="K23" s="10" t="str">
        <f aca="false">IF(I23="","",IF(I23&gt;$I$5,"🔴 Over Limit",IF(I23&gt;$I$5*0.9,"🟡 Warning","✅ OK")))</f>
        <v/>
      </c>
      <c r="L23" s="49"/>
    </row>
    <row r="24" customFormat="false" ht="18" hidden="false" customHeight="true" outlineLevel="0" collapsed="false">
      <c r="B24" s="48"/>
      <c r="C24" s="48"/>
      <c r="D24" s="46"/>
      <c r="E24" s="46"/>
      <c r="F24" s="48"/>
      <c r="G24" s="48"/>
      <c r="H24" s="47"/>
      <c r="I24" s="47"/>
      <c r="J24" s="16" t="str">
        <f aca="false">IF(H24="","",IF(H24&gt;$H$5,"🔴 Over Limit",IF(H24&gt;$H$5*0.9,"🟡 Warning","✅ OK")))</f>
        <v/>
      </c>
      <c r="K24" s="16" t="str">
        <f aca="false">IF(I24="","",IF(I24&gt;$I$5,"🔴 Over Limit",IF(I24&gt;$I$5*0.9,"🟡 Warning","✅ OK")))</f>
        <v/>
      </c>
      <c r="L24" s="48"/>
    </row>
    <row r="25" customFormat="false" ht="18" hidden="false" customHeight="true" outlineLevel="0" collapsed="false">
      <c r="B25" s="49"/>
      <c r="C25" s="49"/>
      <c r="D25" s="46"/>
      <c r="E25" s="46"/>
      <c r="F25" s="49"/>
      <c r="G25" s="49"/>
      <c r="H25" s="47"/>
      <c r="I25" s="47"/>
      <c r="J25" s="10" t="str">
        <f aca="false">IF(H25="","",IF(H25&gt;$H$5,"🔴 Over Limit",IF(H25&gt;$H$5*0.9,"🟡 Warning","✅ OK")))</f>
        <v/>
      </c>
      <c r="K25" s="10" t="str">
        <f aca="false">IF(I25="","",IF(I25&gt;$I$5,"🔴 Over Limit",IF(I25&gt;$I$5*0.9,"🟡 Warning","✅ OK")))</f>
        <v/>
      </c>
      <c r="L25" s="49"/>
    </row>
    <row r="26" customFormat="false" ht="18" hidden="false" customHeight="true" outlineLevel="0" collapsed="false">
      <c r="B26" s="48"/>
      <c r="C26" s="48"/>
      <c r="D26" s="46"/>
      <c r="E26" s="46"/>
      <c r="F26" s="48"/>
      <c r="G26" s="48"/>
      <c r="H26" s="47"/>
      <c r="I26" s="47"/>
      <c r="J26" s="16" t="str">
        <f aca="false">IF(H26="","",IF(H26&gt;$H$5,"🔴 Over Limit",IF(H26&gt;$H$5*0.9,"🟡 Warning","✅ OK")))</f>
        <v/>
      </c>
      <c r="K26" s="16" t="str">
        <f aca="false">IF(I26="","",IF(I26&gt;$I$5,"🔴 Over Limit",IF(I26&gt;$I$5*0.9,"🟡 Warning","✅ OK")))</f>
        <v/>
      </c>
      <c r="L26" s="48"/>
    </row>
    <row r="27" customFormat="false" ht="18" hidden="false" customHeight="true" outlineLevel="0" collapsed="false">
      <c r="B27" s="49"/>
      <c r="C27" s="49"/>
      <c r="D27" s="46"/>
      <c r="E27" s="46"/>
      <c r="F27" s="49"/>
      <c r="G27" s="49"/>
      <c r="H27" s="47"/>
      <c r="I27" s="47"/>
      <c r="J27" s="10" t="str">
        <f aca="false">IF(H27="","",IF(H27&gt;$H$5,"🔴 Over Limit",IF(H27&gt;$H$5*0.9,"🟡 Warning","✅ OK")))</f>
        <v/>
      </c>
      <c r="K27" s="10" t="str">
        <f aca="false">IF(I27="","",IF(I27&gt;$I$5,"🔴 Over Limit",IF(I27&gt;$I$5*0.9,"🟡 Warning","✅ OK")))</f>
        <v/>
      </c>
      <c r="L27" s="49"/>
    </row>
    <row r="28" customFormat="false" ht="18" hidden="false" customHeight="true" outlineLevel="0" collapsed="false">
      <c r="B28" s="48"/>
      <c r="C28" s="48"/>
      <c r="D28" s="46"/>
      <c r="E28" s="46"/>
      <c r="F28" s="48"/>
      <c r="G28" s="48"/>
      <c r="H28" s="47"/>
      <c r="I28" s="47"/>
      <c r="J28" s="16" t="str">
        <f aca="false">IF(H28="","",IF(H28&gt;$H$5,"🔴 Over Limit",IF(H28&gt;$H$5*0.9,"🟡 Warning","✅ OK")))</f>
        <v/>
      </c>
      <c r="K28" s="16" t="str">
        <f aca="false">IF(I28="","",IF(I28&gt;$I$5,"🔴 Over Limit",IF(I28&gt;$I$5*0.9,"🟡 Warning","✅ OK")))</f>
        <v/>
      </c>
      <c r="L28" s="48"/>
    </row>
    <row r="29" customFormat="false" ht="18" hidden="false" customHeight="true" outlineLevel="0" collapsed="false">
      <c r="B29" s="49"/>
      <c r="C29" s="49"/>
      <c r="D29" s="46"/>
      <c r="E29" s="46"/>
      <c r="F29" s="49"/>
      <c r="G29" s="49"/>
      <c r="H29" s="47"/>
      <c r="I29" s="47"/>
      <c r="J29" s="10" t="str">
        <f aca="false">IF(H29="","",IF(H29&gt;$H$5,"🔴 Over Limit",IF(H29&gt;$H$5*0.9,"🟡 Warning","✅ OK")))</f>
        <v/>
      </c>
      <c r="K29" s="10" t="str">
        <f aca="false">IF(I29="","",IF(I29&gt;$I$5,"🔴 Over Limit",IF(I29&gt;$I$5*0.9,"🟡 Warning","✅ OK")))</f>
        <v/>
      </c>
      <c r="L29" s="49"/>
    </row>
    <row r="30" customFormat="false" ht="18" hidden="false" customHeight="true" outlineLevel="0" collapsed="false">
      <c r="B30" s="48"/>
      <c r="C30" s="48"/>
      <c r="D30" s="46"/>
      <c r="E30" s="46"/>
      <c r="F30" s="48"/>
      <c r="G30" s="48"/>
      <c r="H30" s="47"/>
      <c r="I30" s="47"/>
      <c r="J30" s="16" t="str">
        <f aca="false">IF(H30="","",IF(H30&gt;$H$5,"🔴 Over Limit",IF(H30&gt;$H$5*0.9,"🟡 Warning","✅ OK")))</f>
        <v/>
      </c>
      <c r="K30" s="16" t="str">
        <f aca="false">IF(I30="","",IF(I30&gt;$I$5,"🔴 Over Limit",IF(I30&gt;$I$5*0.9,"🟡 Warning","✅ OK")))</f>
        <v/>
      </c>
      <c r="L30" s="48"/>
    </row>
    <row r="31" customFormat="false" ht="18" hidden="false" customHeight="true" outlineLevel="0" collapsed="false">
      <c r="B31" s="49"/>
      <c r="C31" s="49"/>
      <c r="D31" s="46"/>
      <c r="E31" s="46"/>
      <c r="F31" s="49"/>
      <c r="G31" s="49"/>
      <c r="H31" s="47"/>
      <c r="I31" s="47"/>
      <c r="J31" s="10" t="str">
        <f aca="false">IF(H31="","",IF(H31&gt;$H$5,"🔴 Over Limit",IF(H31&gt;$H$5*0.9,"🟡 Warning","✅ OK")))</f>
        <v/>
      </c>
      <c r="K31" s="10" t="str">
        <f aca="false">IF(I31="","",IF(I31&gt;$I$5,"🔴 Over Limit",IF(I31&gt;$I$5*0.9,"🟡 Warning","✅ OK")))</f>
        <v/>
      </c>
      <c r="L31" s="49"/>
    </row>
    <row r="32" customFormat="false" ht="18" hidden="false" customHeight="true" outlineLevel="0" collapsed="false">
      <c r="B32" s="48"/>
      <c r="C32" s="48"/>
      <c r="D32" s="46"/>
      <c r="E32" s="46"/>
      <c r="F32" s="48"/>
      <c r="G32" s="48"/>
      <c r="H32" s="47"/>
      <c r="I32" s="47"/>
      <c r="J32" s="16" t="str">
        <f aca="false">IF(H32="","",IF(H32&gt;$H$5,"🔴 Over Limit",IF(H32&gt;$H$5*0.9,"🟡 Warning","✅ OK")))</f>
        <v/>
      </c>
      <c r="K32" s="16" t="str">
        <f aca="false">IF(I32="","",IF(I32&gt;$I$5,"🔴 Over Limit",IF(I32&gt;$I$5*0.9,"🟡 Warning","✅ OK")))</f>
        <v/>
      </c>
      <c r="L32" s="48"/>
    </row>
    <row r="33" customFormat="false" ht="18" hidden="false" customHeight="true" outlineLevel="0" collapsed="false">
      <c r="B33" s="49"/>
      <c r="C33" s="49"/>
      <c r="D33" s="46"/>
      <c r="E33" s="46"/>
      <c r="F33" s="49"/>
      <c r="G33" s="49"/>
      <c r="H33" s="47"/>
      <c r="I33" s="47"/>
      <c r="J33" s="10" t="str">
        <f aca="false">IF(H33="","",IF(H33&gt;$H$5,"🔴 Over Limit",IF(H33&gt;$H$5*0.9,"🟡 Warning","✅ OK")))</f>
        <v/>
      </c>
      <c r="K33" s="10" t="str">
        <f aca="false">IF(I33="","",IF(I33&gt;$I$5,"🔴 Over Limit",IF(I33&gt;$I$5*0.9,"🟡 Warning","✅ OK")))</f>
        <v/>
      </c>
      <c r="L33" s="49"/>
    </row>
    <row r="34" customFormat="false" ht="18" hidden="false" customHeight="true" outlineLevel="0" collapsed="false">
      <c r="B34" s="48"/>
      <c r="C34" s="48"/>
      <c r="D34" s="46"/>
      <c r="E34" s="46"/>
      <c r="F34" s="48"/>
      <c r="G34" s="48"/>
      <c r="H34" s="47"/>
      <c r="I34" s="47"/>
      <c r="J34" s="16" t="str">
        <f aca="false">IF(H34="","",IF(H34&gt;$H$5,"🔴 Over Limit",IF(H34&gt;$H$5*0.9,"🟡 Warning","✅ OK")))</f>
        <v/>
      </c>
      <c r="K34" s="16" t="str">
        <f aca="false">IF(I34="","",IF(I34&gt;$I$5,"🔴 Over Limit",IF(I34&gt;$I$5*0.9,"🟡 Warning","✅ OK")))</f>
        <v/>
      </c>
      <c r="L34" s="48"/>
    </row>
    <row r="35" customFormat="false" ht="18" hidden="false" customHeight="true" outlineLevel="0" collapsed="false">
      <c r="B35" s="49"/>
      <c r="C35" s="49"/>
      <c r="D35" s="46"/>
      <c r="E35" s="46"/>
      <c r="F35" s="49"/>
      <c r="G35" s="49"/>
      <c r="H35" s="47"/>
      <c r="I35" s="47"/>
      <c r="J35" s="10" t="str">
        <f aca="false">IF(H35="","",IF(H35&gt;$H$5,"🔴 Over Limit",IF(H35&gt;$H$5*0.9,"🟡 Warning","✅ OK")))</f>
        <v/>
      </c>
      <c r="K35" s="10" t="str">
        <f aca="false">IF(I35="","",IF(I35&gt;$I$5,"🔴 Over Limit",IF(I35&gt;$I$5*0.9,"🟡 Warning","✅ OK")))</f>
        <v/>
      </c>
      <c r="L35" s="49"/>
    </row>
    <row r="36" customFormat="false" ht="18" hidden="false" customHeight="true" outlineLevel="0" collapsed="false">
      <c r="B36" s="48"/>
      <c r="C36" s="48"/>
      <c r="D36" s="46"/>
      <c r="E36" s="46"/>
      <c r="F36" s="48"/>
      <c r="G36" s="48"/>
      <c r="H36" s="47"/>
      <c r="I36" s="47"/>
      <c r="J36" s="16" t="str">
        <f aca="false">IF(H36="","",IF(H36&gt;$H$5,"🔴 Over Limit",IF(H36&gt;$H$5*0.9,"🟡 Warning","✅ OK")))</f>
        <v/>
      </c>
      <c r="K36" s="16" t="str">
        <f aca="false">IF(I36="","",IF(I36&gt;$I$5,"🔴 Over Limit",IF(I36&gt;$I$5*0.9,"🟡 Warning","✅ OK")))</f>
        <v/>
      </c>
      <c r="L36" s="48"/>
    </row>
    <row r="37" customFormat="false" ht="18" hidden="false" customHeight="true" outlineLevel="0" collapsed="false">
      <c r="B37" s="49"/>
      <c r="C37" s="49"/>
      <c r="D37" s="46"/>
      <c r="E37" s="46"/>
      <c r="F37" s="49"/>
      <c r="G37" s="49"/>
      <c r="H37" s="47"/>
      <c r="I37" s="47"/>
      <c r="J37" s="10" t="str">
        <f aca="false">IF(H37="","",IF(H37&gt;$H$5,"🔴 Over Limit",IF(H37&gt;$H$5*0.9,"🟡 Warning","✅ OK")))</f>
        <v/>
      </c>
      <c r="K37" s="10" t="str">
        <f aca="false">IF(I37="","",IF(I37&gt;$I$5,"🔴 Over Limit",IF(I37&gt;$I$5*0.9,"🟡 Warning","✅ OK")))</f>
        <v/>
      </c>
      <c r="L37" s="49"/>
    </row>
    <row r="38" customFormat="false" ht="18" hidden="false" customHeight="true" outlineLevel="0" collapsed="false">
      <c r="B38" s="48"/>
      <c r="C38" s="48"/>
      <c r="D38" s="46"/>
      <c r="E38" s="46"/>
      <c r="F38" s="48"/>
      <c r="G38" s="48"/>
      <c r="H38" s="47"/>
      <c r="I38" s="47"/>
      <c r="J38" s="16" t="str">
        <f aca="false">IF(H38="","",IF(H38&gt;$H$5,"🔴 Over Limit",IF(H38&gt;$H$5*0.9,"🟡 Warning","✅ OK")))</f>
        <v/>
      </c>
      <c r="K38" s="16" t="str">
        <f aca="false">IF(I38="","",IF(I38&gt;$I$5,"🔴 Over Limit",IF(I38&gt;$I$5*0.9,"🟡 Warning","✅ OK")))</f>
        <v/>
      </c>
      <c r="L38" s="48"/>
    </row>
    <row r="39" customFormat="false" ht="18" hidden="false" customHeight="true" outlineLevel="0" collapsed="false">
      <c r="B39" s="49"/>
      <c r="C39" s="49"/>
      <c r="D39" s="46"/>
      <c r="E39" s="46"/>
      <c r="F39" s="49"/>
      <c r="G39" s="49"/>
      <c r="H39" s="47"/>
      <c r="I39" s="47"/>
      <c r="J39" s="10" t="str">
        <f aca="false">IF(H39="","",IF(H39&gt;$H$5,"🔴 Over Limit",IF(H39&gt;$H$5*0.9,"🟡 Warning","✅ OK")))</f>
        <v/>
      </c>
      <c r="K39" s="10" t="str">
        <f aca="false">IF(I39="","",IF(I39&gt;$I$5,"🔴 Over Limit",IF(I39&gt;$I$5*0.9,"🟡 Warning","✅ OK")))</f>
        <v/>
      </c>
      <c r="L39" s="49"/>
    </row>
    <row r="40" customFormat="false" ht="18" hidden="false" customHeight="true" outlineLevel="0" collapsed="false">
      <c r="B40" s="48"/>
      <c r="C40" s="48"/>
      <c r="D40" s="46"/>
      <c r="E40" s="46"/>
      <c r="F40" s="48"/>
      <c r="G40" s="48"/>
      <c r="H40" s="47"/>
      <c r="I40" s="47"/>
      <c r="J40" s="16" t="str">
        <f aca="false">IF(H40="","",IF(H40&gt;$H$5,"🔴 Over Limit",IF(H40&gt;$H$5*0.9,"🟡 Warning","✅ OK")))</f>
        <v/>
      </c>
      <c r="K40" s="16" t="str">
        <f aca="false">IF(I40="","",IF(I40&gt;$I$5,"🔴 Over Limit",IF(I40&gt;$I$5*0.9,"🟡 Warning","✅ OK")))</f>
        <v/>
      </c>
      <c r="L40" s="48"/>
    </row>
    <row r="41" customFormat="false" ht="18" hidden="false" customHeight="true" outlineLevel="0" collapsed="false">
      <c r="B41" s="49"/>
      <c r="C41" s="49"/>
      <c r="D41" s="46"/>
      <c r="E41" s="46"/>
      <c r="F41" s="49"/>
      <c r="G41" s="49"/>
      <c r="H41" s="47"/>
      <c r="I41" s="47"/>
      <c r="J41" s="10" t="str">
        <f aca="false">IF(H41="","",IF(H41&gt;$H$5,"🔴 Over Limit",IF(H41&gt;$H$5*0.9,"🟡 Warning","✅ OK")))</f>
        <v/>
      </c>
      <c r="K41" s="10" t="str">
        <f aca="false">IF(I41="","",IF(I41&gt;$I$5,"🔴 Over Limit",IF(I41&gt;$I$5*0.9,"🟡 Warning","✅ OK")))</f>
        <v/>
      </c>
      <c r="L41" s="49"/>
    </row>
    <row r="42" customFormat="false" ht="18" hidden="false" customHeight="true" outlineLevel="0" collapsed="false">
      <c r="B42" s="48"/>
      <c r="C42" s="48"/>
      <c r="D42" s="46"/>
      <c r="E42" s="46"/>
      <c r="F42" s="48"/>
      <c r="G42" s="48"/>
      <c r="H42" s="47"/>
      <c r="I42" s="47"/>
      <c r="J42" s="16" t="str">
        <f aca="false">IF(H42="","",IF(H42&gt;$H$5,"🔴 Over Limit",IF(H42&gt;$H$5*0.9,"🟡 Warning","✅ OK")))</f>
        <v/>
      </c>
      <c r="K42" s="16" t="str">
        <f aca="false">IF(I42="","",IF(I42&gt;$I$5,"🔴 Over Limit",IF(I42&gt;$I$5*0.9,"🟡 Warning","✅ OK")))</f>
        <v/>
      </c>
      <c r="L42" s="48"/>
    </row>
    <row r="43" customFormat="false" ht="18" hidden="false" customHeight="true" outlineLevel="0" collapsed="false">
      <c r="B43" s="49"/>
      <c r="C43" s="49"/>
      <c r="D43" s="46"/>
      <c r="E43" s="46"/>
      <c r="F43" s="49"/>
      <c r="G43" s="49"/>
      <c r="H43" s="47"/>
      <c r="I43" s="47"/>
      <c r="J43" s="10" t="str">
        <f aca="false">IF(H43="","",IF(H43&gt;$H$5,"🔴 Over Limit",IF(H43&gt;$H$5*0.9,"🟡 Warning","✅ OK")))</f>
        <v/>
      </c>
      <c r="K43" s="10" t="str">
        <f aca="false">IF(I43="","",IF(I43&gt;$I$5,"🔴 Over Limit",IF(I43&gt;$I$5*0.9,"🟡 Warning","✅ OK")))</f>
        <v/>
      </c>
      <c r="L43" s="49"/>
    </row>
    <row r="44" customFormat="false" ht="18" hidden="false" customHeight="true" outlineLevel="0" collapsed="false">
      <c r="B44" s="48"/>
      <c r="C44" s="48"/>
      <c r="D44" s="46"/>
      <c r="E44" s="46"/>
      <c r="F44" s="48"/>
      <c r="G44" s="48"/>
      <c r="H44" s="47"/>
      <c r="I44" s="47"/>
      <c r="J44" s="16" t="str">
        <f aca="false">IF(H44="","",IF(H44&gt;$H$5,"🔴 Over Limit",IF(H44&gt;$H$5*0.9,"🟡 Warning","✅ OK")))</f>
        <v/>
      </c>
      <c r="K44" s="16" t="str">
        <f aca="false">IF(I44="","",IF(I44&gt;$I$5,"🔴 Over Limit",IF(I44&gt;$I$5*0.9,"🟡 Warning","✅ OK")))</f>
        <v/>
      </c>
      <c r="L44" s="48"/>
    </row>
    <row r="45" customFormat="false" ht="18" hidden="false" customHeight="true" outlineLevel="0" collapsed="false">
      <c r="B45" s="49"/>
      <c r="C45" s="49"/>
      <c r="D45" s="46"/>
      <c r="E45" s="46"/>
      <c r="F45" s="49"/>
      <c r="G45" s="49"/>
      <c r="H45" s="47"/>
      <c r="I45" s="47"/>
      <c r="J45" s="10" t="str">
        <f aca="false">IF(H45="","",IF(H45&gt;$H$5,"🔴 Over Limit",IF(H45&gt;$H$5*0.9,"🟡 Warning","✅ OK")))</f>
        <v/>
      </c>
      <c r="K45" s="10" t="str">
        <f aca="false">IF(I45="","",IF(I45&gt;$I$5,"🔴 Over Limit",IF(I45&gt;$I$5*0.9,"🟡 Warning","✅ OK")))</f>
        <v/>
      </c>
      <c r="L45" s="49"/>
    </row>
    <row r="46" customFormat="false" ht="18" hidden="false" customHeight="true" outlineLevel="0" collapsed="false">
      <c r="B46" s="48"/>
      <c r="C46" s="48"/>
      <c r="D46" s="46"/>
      <c r="E46" s="46"/>
      <c r="F46" s="48"/>
      <c r="G46" s="48"/>
      <c r="H46" s="47"/>
      <c r="I46" s="47"/>
      <c r="J46" s="16" t="str">
        <f aca="false">IF(H46="","",IF(H46&gt;$H$5,"🔴 Over Limit",IF(H46&gt;$H$5*0.9,"🟡 Warning","✅ OK")))</f>
        <v/>
      </c>
      <c r="K46" s="16" t="str">
        <f aca="false">IF(I46="","",IF(I46&gt;$I$5,"🔴 Over Limit",IF(I46&gt;$I$5*0.9,"🟡 Warning","✅ OK")))</f>
        <v/>
      </c>
      <c r="L46" s="48"/>
    </row>
    <row r="47" customFormat="false" ht="18" hidden="false" customHeight="true" outlineLevel="0" collapsed="false">
      <c r="B47" s="49"/>
      <c r="C47" s="49"/>
      <c r="D47" s="46"/>
      <c r="E47" s="46"/>
      <c r="F47" s="49"/>
      <c r="G47" s="49"/>
      <c r="H47" s="47"/>
      <c r="I47" s="47"/>
      <c r="J47" s="10" t="str">
        <f aca="false">IF(H47="","",IF(H47&gt;$H$5,"🔴 Over Limit",IF(H47&gt;$H$5*0.9,"🟡 Warning","✅ OK")))</f>
        <v/>
      </c>
      <c r="K47" s="10" t="str">
        <f aca="false">IF(I47="","",IF(I47&gt;$I$5,"🔴 Over Limit",IF(I47&gt;$I$5*0.9,"🟡 Warning","✅ OK")))</f>
        <v/>
      </c>
      <c r="L47" s="49"/>
    </row>
    <row r="48" customFormat="false" ht="18" hidden="false" customHeight="true" outlineLevel="0" collapsed="false">
      <c r="B48" s="48"/>
      <c r="C48" s="48"/>
      <c r="D48" s="46"/>
      <c r="E48" s="46"/>
      <c r="F48" s="48"/>
      <c r="G48" s="48"/>
      <c r="H48" s="47"/>
      <c r="I48" s="47"/>
      <c r="J48" s="16" t="str">
        <f aca="false">IF(H48="","",IF(H48&gt;$H$5,"🔴 Over Limit",IF(H48&gt;$H$5*0.9,"🟡 Warning","✅ OK")))</f>
        <v/>
      </c>
      <c r="K48" s="16" t="str">
        <f aca="false">IF(I48="","",IF(I48&gt;$I$5,"🔴 Over Limit",IF(I48&gt;$I$5*0.9,"🟡 Warning","✅ OK")))</f>
        <v/>
      </c>
      <c r="L48" s="48"/>
    </row>
    <row r="49" customFormat="false" ht="18" hidden="false" customHeight="true" outlineLevel="0" collapsed="false">
      <c r="B49" s="49"/>
      <c r="C49" s="49"/>
      <c r="D49" s="46"/>
      <c r="E49" s="46"/>
      <c r="F49" s="49"/>
      <c r="G49" s="49"/>
      <c r="H49" s="47"/>
      <c r="I49" s="47"/>
      <c r="J49" s="10" t="str">
        <f aca="false">IF(H49="","",IF(H49&gt;$H$5,"🔴 Over Limit",IF(H49&gt;$H$5*0.9,"🟡 Warning","✅ OK")))</f>
        <v/>
      </c>
      <c r="K49" s="10" t="str">
        <f aca="false">IF(I49="","",IF(I49&gt;$I$5,"🔴 Over Limit",IF(I49&gt;$I$5*0.9,"🟡 Warning","✅ OK")))</f>
        <v/>
      </c>
      <c r="L49" s="49"/>
    </row>
    <row r="50" customFormat="false" ht="18" hidden="false" customHeight="true" outlineLevel="0" collapsed="false">
      <c r="B50" s="48"/>
      <c r="C50" s="48"/>
      <c r="D50" s="46"/>
      <c r="E50" s="46"/>
      <c r="F50" s="48"/>
      <c r="G50" s="48"/>
      <c r="H50" s="47"/>
      <c r="I50" s="47"/>
      <c r="J50" s="16" t="str">
        <f aca="false">IF(H50="","",IF(H50&gt;$H$5,"🔴 Over Limit",IF(H50&gt;$H$5*0.9,"🟡 Warning","✅ OK")))</f>
        <v/>
      </c>
      <c r="K50" s="16" t="str">
        <f aca="false">IF(I50="","",IF(I50&gt;$I$5,"🔴 Over Limit",IF(I50&gt;$I$5*0.9,"🟡 Warning","✅ OK")))</f>
        <v/>
      </c>
      <c r="L50" s="48"/>
    </row>
    <row r="51" customFormat="false" ht="18" hidden="false" customHeight="true" outlineLevel="0" collapsed="false">
      <c r="B51" s="49"/>
      <c r="C51" s="49"/>
      <c r="D51" s="46"/>
      <c r="E51" s="46"/>
      <c r="F51" s="49"/>
      <c r="G51" s="49"/>
      <c r="H51" s="47"/>
      <c r="I51" s="47"/>
      <c r="J51" s="10" t="str">
        <f aca="false">IF(H51="","",IF(H51&gt;$H$5,"🔴 Over Limit",IF(H51&gt;$H$5*0.9,"🟡 Warning","✅ OK")))</f>
        <v/>
      </c>
      <c r="K51" s="10" t="str">
        <f aca="false">IF(I51="","",IF(I51&gt;$I$5,"🔴 Over Limit",IF(I51&gt;$I$5*0.9,"🟡 Warning","✅ OK")))</f>
        <v/>
      </c>
      <c r="L51" s="49"/>
    </row>
    <row r="52" customFormat="false" ht="18" hidden="false" customHeight="true" outlineLevel="0" collapsed="false">
      <c r="B52" s="48"/>
      <c r="C52" s="48"/>
      <c r="D52" s="46"/>
      <c r="E52" s="46"/>
      <c r="F52" s="48"/>
      <c r="G52" s="48"/>
      <c r="H52" s="47"/>
      <c r="I52" s="47"/>
      <c r="J52" s="16" t="str">
        <f aca="false">IF(H52="","",IF(H52&gt;$H$5,"🔴 Over Limit",IF(H52&gt;$H$5*0.9,"🟡 Warning","✅ OK")))</f>
        <v/>
      </c>
      <c r="K52" s="16" t="str">
        <f aca="false">IF(I52="","",IF(I52&gt;$I$5,"🔴 Over Limit",IF(I52&gt;$I$5*0.9,"🟡 Warning","✅ OK")))</f>
        <v/>
      </c>
      <c r="L52" s="48"/>
    </row>
    <row r="53" customFormat="false" ht="18" hidden="false" customHeight="true" outlineLevel="0" collapsed="false">
      <c r="B53" s="49"/>
      <c r="C53" s="49"/>
      <c r="D53" s="46"/>
      <c r="E53" s="46"/>
      <c r="F53" s="49"/>
      <c r="G53" s="49"/>
      <c r="H53" s="47"/>
      <c r="I53" s="47"/>
      <c r="J53" s="10" t="str">
        <f aca="false">IF(H53="","",IF(H53&gt;$H$5,"🔴 Over Limit",IF(H53&gt;$H$5*0.9,"🟡 Warning","✅ OK")))</f>
        <v/>
      </c>
      <c r="K53" s="10" t="str">
        <f aca="false">IF(I53="","",IF(I53&gt;$I$5,"🔴 Over Limit",IF(I53&gt;$I$5*0.9,"🟡 Warning","✅ OK")))</f>
        <v/>
      </c>
      <c r="L53" s="49"/>
    </row>
    <row r="54" customFormat="false" ht="18" hidden="false" customHeight="true" outlineLevel="0" collapsed="false">
      <c r="B54" s="48"/>
      <c r="C54" s="48"/>
      <c r="D54" s="46"/>
      <c r="E54" s="46"/>
      <c r="F54" s="48"/>
      <c r="G54" s="48"/>
      <c r="H54" s="47"/>
      <c r="I54" s="47"/>
      <c r="J54" s="16" t="str">
        <f aca="false">IF(H54="","",IF(H54&gt;$H$5,"🔴 Over Limit",IF(H54&gt;$H$5*0.9,"🟡 Warning","✅ OK")))</f>
        <v/>
      </c>
      <c r="K54" s="16" t="str">
        <f aca="false">IF(I54="","",IF(I54&gt;$I$5,"🔴 Over Limit",IF(I54&gt;$I$5*0.9,"🟡 Warning","✅ OK")))</f>
        <v/>
      </c>
      <c r="L54" s="48"/>
    </row>
    <row r="55" customFormat="false" ht="18" hidden="false" customHeight="true" outlineLevel="0" collapsed="false">
      <c r="B55" s="49"/>
      <c r="C55" s="49"/>
      <c r="D55" s="46"/>
      <c r="E55" s="46"/>
      <c r="F55" s="49"/>
      <c r="G55" s="49"/>
      <c r="H55" s="47"/>
      <c r="I55" s="47"/>
      <c r="J55" s="10" t="str">
        <f aca="false">IF(H55="","",IF(H55&gt;$H$5,"🔴 Over Limit",IF(H55&gt;$H$5*0.9,"🟡 Warning","✅ OK")))</f>
        <v/>
      </c>
      <c r="K55" s="10" t="str">
        <f aca="false">IF(I55="","",IF(I55&gt;$I$5,"🔴 Over Limit",IF(I55&gt;$I$5*0.9,"🟡 Warning","✅ OK")))</f>
        <v/>
      </c>
      <c r="L55" s="49"/>
    </row>
    <row r="56" customFormat="false" ht="18" hidden="false" customHeight="true" outlineLevel="0" collapsed="false">
      <c r="B56" s="48"/>
      <c r="C56" s="48"/>
      <c r="D56" s="46"/>
      <c r="E56" s="46"/>
      <c r="F56" s="48"/>
      <c r="G56" s="48"/>
      <c r="H56" s="47"/>
      <c r="I56" s="47"/>
      <c r="J56" s="16" t="str">
        <f aca="false">IF(H56="","",IF(H56&gt;$H$5,"🔴 Over Limit",IF(H56&gt;$H$5*0.9,"🟡 Warning","✅ OK")))</f>
        <v/>
      </c>
      <c r="K56" s="16" t="str">
        <f aca="false">IF(I56="","",IF(I56&gt;$I$5,"🔴 Over Limit",IF(I56&gt;$I$5*0.9,"🟡 Warning","✅ OK")))</f>
        <v/>
      </c>
      <c r="L56" s="48"/>
    </row>
  </sheetData>
  <mergeCells count="4">
    <mergeCell ref="B1:L1"/>
    <mergeCell ref="B2:L2"/>
    <mergeCell ref="B3:L3"/>
    <mergeCell ref="B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3"/>
    <col collapsed="false" customWidth="true" hidden="false" outlineLevel="0" max="9" min="8" style="0" width="15"/>
    <col collapsed="false" customWidth="true" hidden="false" outlineLevel="0" max="10" min="10" style="0" width="14"/>
    <col collapsed="false" customWidth="true" hidden="false" outlineLevel="0" max="11" min="11" style="0" width="18"/>
  </cols>
  <sheetData>
    <row r="1" customFormat="false" ht="31.5" hidden="false" customHeight="true" outlineLevel="0" collapsed="false">
      <c r="B1" s="39" t="s">
        <v>186</v>
      </c>
      <c r="C1" s="39"/>
      <c r="D1" s="39"/>
      <c r="E1" s="39"/>
      <c r="F1" s="39"/>
      <c r="G1" s="39"/>
      <c r="H1" s="39"/>
      <c r="I1" s="39"/>
      <c r="J1" s="39"/>
      <c r="K1" s="39"/>
    </row>
    <row r="2" customFormat="false" ht="15" hidden="false" customHeight="true" outlineLevel="0" collapsed="false">
      <c r="B2" s="40" t="s">
        <v>101</v>
      </c>
      <c r="C2" s="40"/>
      <c r="D2" s="40"/>
      <c r="E2" s="40"/>
      <c r="F2" s="40"/>
      <c r="G2" s="40"/>
      <c r="H2" s="40"/>
      <c r="I2" s="40"/>
      <c r="J2" s="40"/>
      <c r="K2" s="40"/>
    </row>
    <row r="3" customFormat="false" ht="21.75" hidden="false" customHeight="true" outlineLevel="0" collapsed="false">
      <c r="B3" s="67" t="s">
        <v>187</v>
      </c>
      <c r="C3" s="67"/>
      <c r="D3" s="67"/>
      <c r="E3" s="67"/>
      <c r="F3" s="67"/>
      <c r="G3" s="67"/>
      <c r="H3" s="67"/>
      <c r="I3" s="67"/>
      <c r="J3" s="67"/>
      <c r="K3" s="67"/>
    </row>
    <row r="4" customFormat="false" ht="19.5" hidden="false" customHeight="true" outlineLevel="0" collapsed="false">
      <c r="B4" s="41" t="s">
        <v>77</v>
      </c>
      <c r="C4" s="20" t="n">
        <f aca="false">SUM(E7:E56)</f>
        <v>33930</v>
      </c>
      <c r="D4" s="20" t="n">
        <f aca="false">SUM(F7:F56)</f>
        <v>40</v>
      </c>
      <c r="E4" s="22" t="n">
        <f aca="false">IFERROR(D4/(C4+D4),0)</f>
        <v>0.00117750956726523</v>
      </c>
      <c r="F4" s="21" t="n">
        <f aca="false">IFERROR(AVERAGEIF(J7:J56,"&gt;0"),0)</f>
        <v>0.295</v>
      </c>
      <c r="G4" s="42" t="n">
        <f aca="false">COUNTIF(F7:F56,"&gt;0")</f>
        <v>2</v>
      </c>
      <c r="H4" s="49"/>
      <c r="I4" s="49"/>
      <c r="J4" s="49"/>
      <c r="K4" s="49"/>
    </row>
    <row r="6" customFormat="false" ht="27.75" hidden="false" customHeight="true" outlineLevel="0" collapsed="false">
      <c r="B6" s="68" t="s">
        <v>103</v>
      </c>
      <c r="C6" s="68" t="s">
        <v>104</v>
      </c>
      <c r="D6" s="68" t="s">
        <v>105</v>
      </c>
      <c r="E6" s="68" t="s">
        <v>106</v>
      </c>
      <c r="F6" s="68" t="s">
        <v>107</v>
      </c>
      <c r="G6" s="68" t="s">
        <v>108</v>
      </c>
      <c r="H6" s="68" t="s">
        <v>109</v>
      </c>
      <c r="I6" s="68" t="s">
        <v>110</v>
      </c>
      <c r="J6" s="68" t="s">
        <v>111</v>
      </c>
      <c r="K6" s="68" t="s">
        <v>112</v>
      </c>
    </row>
    <row r="7" customFormat="false" ht="18" hidden="false" customHeight="true" outlineLevel="0" collapsed="false">
      <c r="B7" s="25" t="s">
        <v>181</v>
      </c>
      <c r="C7" s="46" t="s">
        <v>113</v>
      </c>
      <c r="D7" s="50" t="n">
        <v>22000</v>
      </c>
      <c r="E7" s="50" t="n">
        <v>21950</v>
      </c>
      <c r="F7" s="50" t="n">
        <v>30</v>
      </c>
      <c r="G7" s="51" t="n">
        <f aca="false">IFERROR(F7/(E7+F7),0)</f>
        <v>0.00136487716105551</v>
      </c>
      <c r="H7" s="50" t="n">
        <v>10000</v>
      </c>
      <c r="I7" s="50" t="n">
        <v>3800</v>
      </c>
      <c r="J7" s="52" t="n">
        <f aca="false">IFERROR(I7/H7,0)</f>
        <v>0.38</v>
      </c>
      <c r="K7" s="10" t="str">
        <f aca="false">IF(F7&gt;0,IF(J7&gt;0.9,"🔴 OOM/Queue Full","🟡 Queue Overflow"),"✅ None")</f>
        <v>🟡 Queue Overflow</v>
      </c>
    </row>
    <row r="8" customFormat="false" ht="18" hidden="false" customHeight="true" outlineLevel="0" collapsed="false">
      <c r="B8" s="28" t="s">
        <v>183</v>
      </c>
      <c r="C8" s="46" t="s">
        <v>113</v>
      </c>
      <c r="D8" s="50" t="n">
        <v>12000</v>
      </c>
      <c r="E8" s="50" t="n">
        <v>11980</v>
      </c>
      <c r="F8" s="50" t="n">
        <v>10</v>
      </c>
      <c r="G8" s="51" t="n">
        <f aca="false">IFERROR(F8/(E8+F8),0)</f>
        <v>0.000834028356964137</v>
      </c>
      <c r="H8" s="50" t="n">
        <v>10000</v>
      </c>
      <c r="I8" s="50" t="n">
        <v>2100</v>
      </c>
      <c r="J8" s="52" t="n">
        <f aca="false">IFERROR(I8/H8,0)</f>
        <v>0.21</v>
      </c>
      <c r="K8" s="16" t="str">
        <f aca="false">IF(F8&gt;0,IF(J8&gt;0.9,"🔴 OOM/Queue Full","🟡 Queue Overflow"),"✅ None")</f>
        <v>🟡 Queue Overflow</v>
      </c>
    </row>
    <row r="9" customFormat="false" ht="18" hidden="false" customHeight="true" outlineLevel="0" collapsed="false">
      <c r="B9" s="49"/>
      <c r="C9" s="46"/>
      <c r="D9" s="50"/>
      <c r="E9" s="50"/>
      <c r="F9" s="50"/>
      <c r="G9" s="51" t="n">
        <f aca="false">IFERROR(F9/(E9+F9),0)</f>
        <v>0</v>
      </c>
      <c r="H9" s="50"/>
      <c r="I9" s="50"/>
      <c r="J9" s="52" t="n">
        <f aca="false">IFERROR(I9/H9,0)</f>
        <v>0</v>
      </c>
      <c r="K9" s="10" t="str">
        <f aca="false">IF(F9&gt;0,IF(J9&gt;0.9,"🔴 OOM/Queue Full","🟡 Queue Overflow"),"✅ None")</f>
        <v>✅ None</v>
      </c>
    </row>
    <row r="10" customFormat="false" ht="18" hidden="false" customHeight="true" outlineLevel="0" collapsed="false">
      <c r="B10" s="48"/>
      <c r="C10" s="46"/>
      <c r="D10" s="50"/>
      <c r="E10" s="50"/>
      <c r="F10" s="50"/>
      <c r="G10" s="51" t="n">
        <f aca="false">IFERROR(F10/(E10+F10),0)</f>
        <v>0</v>
      </c>
      <c r="H10" s="50"/>
      <c r="I10" s="50"/>
      <c r="J10" s="52" t="n">
        <f aca="false">IFERROR(I10/H10,0)</f>
        <v>0</v>
      </c>
      <c r="K10" s="16" t="str">
        <f aca="false">IF(F10&gt;0,IF(J10&gt;0.9,"🔴 OOM/Queue Full","🟡 Queue Overflow"),"✅ None")</f>
        <v>✅ None</v>
      </c>
    </row>
    <row r="11" customFormat="false" ht="18" hidden="false" customHeight="true" outlineLevel="0" collapsed="false">
      <c r="B11" s="49"/>
      <c r="C11" s="46"/>
      <c r="D11" s="50"/>
      <c r="E11" s="50"/>
      <c r="F11" s="50"/>
      <c r="G11" s="51" t="n">
        <f aca="false">IFERROR(F11/(E11+F11),0)</f>
        <v>0</v>
      </c>
      <c r="H11" s="50"/>
      <c r="I11" s="50"/>
      <c r="J11" s="52" t="n">
        <f aca="false">IFERROR(I11/H11,0)</f>
        <v>0</v>
      </c>
      <c r="K11" s="10" t="str">
        <f aca="false">IF(F11&gt;0,IF(J11&gt;0.9,"🔴 OOM/Queue Full","🟡 Queue Overflow"),"✅ None")</f>
        <v>✅ None</v>
      </c>
    </row>
    <row r="12" customFormat="false" ht="18" hidden="false" customHeight="true" outlineLevel="0" collapsed="false">
      <c r="B12" s="48"/>
      <c r="C12" s="46"/>
      <c r="D12" s="50"/>
      <c r="E12" s="50"/>
      <c r="F12" s="50"/>
      <c r="G12" s="51" t="n">
        <f aca="false">IFERROR(F12/(E12+F12),0)</f>
        <v>0</v>
      </c>
      <c r="H12" s="50"/>
      <c r="I12" s="50"/>
      <c r="J12" s="52" t="n">
        <f aca="false">IFERROR(I12/H12,0)</f>
        <v>0</v>
      </c>
      <c r="K12" s="16" t="str">
        <f aca="false">IF(F12&gt;0,IF(J12&gt;0.9,"🔴 OOM/Queue Full","🟡 Queue Overflow"),"✅ None")</f>
        <v>✅ None</v>
      </c>
    </row>
    <row r="13" customFormat="false" ht="18" hidden="false" customHeight="true" outlineLevel="0" collapsed="false">
      <c r="B13" s="49"/>
      <c r="C13" s="46"/>
      <c r="D13" s="50"/>
      <c r="E13" s="50"/>
      <c r="F13" s="50"/>
      <c r="G13" s="51" t="n">
        <f aca="false">IFERROR(F13/(E13+F13),0)</f>
        <v>0</v>
      </c>
      <c r="H13" s="50"/>
      <c r="I13" s="50"/>
      <c r="J13" s="52" t="n">
        <f aca="false">IFERROR(I13/H13,0)</f>
        <v>0</v>
      </c>
      <c r="K13" s="10" t="str">
        <f aca="false">IF(F13&gt;0,IF(J13&gt;0.9,"🔴 OOM/Queue Full","🟡 Queue Overflow"),"✅ None")</f>
        <v>✅ None</v>
      </c>
    </row>
    <row r="14" customFormat="false" ht="18" hidden="false" customHeight="true" outlineLevel="0" collapsed="false">
      <c r="B14" s="48"/>
      <c r="C14" s="46"/>
      <c r="D14" s="50"/>
      <c r="E14" s="50"/>
      <c r="F14" s="50"/>
      <c r="G14" s="51" t="n">
        <f aca="false">IFERROR(F14/(E14+F14),0)</f>
        <v>0</v>
      </c>
      <c r="H14" s="50"/>
      <c r="I14" s="50"/>
      <c r="J14" s="52" t="n">
        <f aca="false">IFERROR(I14/H14,0)</f>
        <v>0</v>
      </c>
      <c r="K14" s="16" t="str">
        <f aca="false">IF(F14&gt;0,IF(J14&gt;0.9,"🔴 OOM/Queue Full","🟡 Queue Overflow"),"✅ None")</f>
        <v>✅ None</v>
      </c>
    </row>
    <row r="15" customFormat="false" ht="18" hidden="false" customHeight="true" outlineLevel="0" collapsed="false">
      <c r="B15" s="49"/>
      <c r="C15" s="46"/>
      <c r="D15" s="50"/>
      <c r="E15" s="50"/>
      <c r="F15" s="50"/>
      <c r="G15" s="51" t="n">
        <f aca="false">IFERROR(F15/(E15+F15),0)</f>
        <v>0</v>
      </c>
      <c r="H15" s="50"/>
      <c r="I15" s="50"/>
      <c r="J15" s="52" t="n">
        <f aca="false">IFERROR(I15/H15,0)</f>
        <v>0</v>
      </c>
      <c r="K15" s="10" t="str">
        <f aca="false">IF(F15&gt;0,IF(J15&gt;0.9,"🔴 OOM/Queue Full","🟡 Queue Overflow"),"✅ None")</f>
        <v>✅ None</v>
      </c>
    </row>
    <row r="16" customFormat="false" ht="18" hidden="false" customHeight="true" outlineLevel="0" collapsed="false">
      <c r="B16" s="48"/>
      <c r="C16" s="46"/>
      <c r="D16" s="50"/>
      <c r="E16" s="50"/>
      <c r="F16" s="50"/>
      <c r="G16" s="51" t="n">
        <f aca="false">IFERROR(F16/(E16+F16),0)</f>
        <v>0</v>
      </c>
      <c r="H16" s="50"/>
      <c r="I16" s="50"/>
      <c r="J16" s="52" t="n">
        <f aca="false">IFERROR(I16/H16,0)</f>
        <v>0</v>
      </c>
      <c r="K16" s="16" t="str">
        <f aca="false">IF(F16&gt;0,IF(J16&gt;0.9,"🔴 OOM/Queue Full","🟡 Queue Overflow"),"✅ None")</f>
        <v>✅ None</v>
      </c>
    </row>
    <row r="17" customFormat="false" ht="18" hidden="false" customHeight="true" outlineLevel="0" collapsed="false">
      <c r="B17" s="49"/>
      <c r="C17" s="46"/>
      <c r="D17" s="50"/>
      <c r="E17" s="50"/>
      <c r="F17" s="50"/>
      <c r="G17" s="51" t="n">
        <f aca="false">IFERROR(F17/(E17+F17),0)</f>
        <v>0</v>
      </c>
      <c r="H17" s="50"/>
      <c r="I17" s="50"/>
      <c r="J17" s="52" t="n">
        <f aca="false">IFERROR(I17/H17,0)</f>
        <v>0</v>
      </c>
      <c r="K17" s="10" t="str">
        <f aca="false">IF(F17&gt;0,IF(J17&gt;0.9,"🔴 OOM/Queue Full","🟡 Queue Overflow"),"✅ None")</f>
        <v>✅ None</v>
      </c>
    </row>
    <row r="18" customFormat="false" ht="18" hidden="false" customHeight="true" outlineLevel="0" collapsed="false">
      <c r="B18" s="48"/>
      <c r="C18" s="46"/>
      <c r="D18" s="50"/>
      <c r="E18" s="50"/>
      <c r="F18" s="50"/>
      <c r="G18" s="51" t="n">
        <f aca="false">IFERROR(F18/(E18+F18),0)</f>
        <v>0</v>
      </c>
      <c r="H18" s="50"/>
      <c r="I18" s="50"/>
      <c r="J18" s="52" t="n">
        <f aca="false">IFERROR(I18/H18,0)</f>
        <v>0</v>
      </c>
      <c r="K18" s="16" t="str">
        <f aca="false">IF(F18&gt;0,IF(J18&gt;0.9,"🔴 OOM/Queue Full","🟡 Queue Overflow"),"✅ None")</f>
        <v>✅ None</v>
      </c>
    </row>
    <row r="19" customFormat="false" ht="18" hidden="false" customHeight="true" outlineLevel="0" collapsed="false">
      <c r="B19" s="49"/>
      <c r="C19" s="46"/>
      <c r="D19" s="50"/>
      <c r="E19" s="50"/>
      <c r="F19" s="50"/>
      <c r="G19" s="51" t="n">
        <f aca="false">IFERROR(F19/(E19+F19),0)</f>
        <v>0</v>
      </c>
      <c r="H19" s="50"/>
      <c r="I19" s="50"/>
      <c r="J19" s="52" t="n">
        <f aca="false">IFERROR(I19/H19,0)</f>
        <v>0</v>
      </c>
      <c r="K19" s="10" t="str">
        <f aca="false">IF(F19&gt;0,IF(J19&gt;0.9,"🔴 OOM/Queue Full","🟡 Queue Overflow"),"✅ None")</f>
        <v>✅ None</v>
      </c>
    </row>
    <row r="20" customFormat="false" ht="18" hidden="false" customHeight="true" outlineLevel="0" collapsed="false">
      <c r="B20" s="48"/>
      <c r="C20" s="46"/>
      <c r="D20" s="50"/>
      <c r="E20" s="50"/>
      <c r="F20" s="50"/>
      <c r="G20" s="51" t="n">
        <f aca="false">IFERROR(F20/(E20+F20),0)</f>
        <v>0</v>
      </c>
      <c r="H20" s="50"/>
      <c r="I20" s="50"/>
      <c r="J20" s="52" t="n">
        <f aca="false">IFERROR(I20/H20,0)</f>
        <v>0</v>
      </c>
      <c r="K20" s="16" t="str">
        <f aca="false">IF(F20&gt;0,IF(J20&gt;0.9,"🔴 OOM/Queue Full","🟡 Queue Overflow"),"✅ None")</f>
        <v>✅ None</v>
      </c>
    </row>
    <row r="21" customFormat="false" ht="18" hidden="false" customHeight="true" outlineLevel="0" collapsed="false">
      <c r="B21" s="49"/>
      <c r="C21" s="46"/>
      <c r="D21" s="50"/>
      <c r="E21" s="50"/>
      <c r="F21" s="50"/>
      <c r="G21" s="51" t="n">
        <f aca="false">IFERROR(F21/(E21+F21),0)</f>
        <v>0</v>
      </c>
      <c r="H21" s="50"/>
      <c r="I21" s="50"/>
      <c r="J21" s="52" t="n">
        <f aca="false">IFERROR(I21/H21,0)</f>
        <v>0</v>
      </c>
      <c r="K21" s="10" t="str">
        <f aca="false">IF(F21&gt;0,IF(J21&gt;0.9,"🔴 OOM/Queue Full","🟡 Queue Overflow"),"✅ None")</f>
        <v>✅ None</v>
      </c>
    </row>
    <row r="22" customFormat="false" ht="18" hidden="false" customHeight="true" outlineLevel="0" collapsed="false">
      <c r="B22" s="48"/>
      <c r="C22" s="46"/>
      <c r="D22" s="50"/>
      <c r="E22" s="50"/>
      <c r="F22" s="50"/>
      <c r="G22" s="51" t="n">
        <f aca="false">IFERROR(F22/(E22+F22),0)</f>
        <v>0</v>
      </c>
      <c r="H22" s="50"/>
      <c r="I22" s="50"/>
      <c r="J22" s="52" t="n">
        <f aca="false">IFERROR(I22/H22,0)</f>
        <v>0</v>
      </c>
      <c r="K22" s="16" t="str">
        <f aca="false">IF(F22&gt;0,IF(J22&gt;0.9,"🔴 OOM/Queue Full","🟡 Queue Overflow"),"✅ None")</f>
        <v>✅ None</v>
      </c>
    </row>
    <row r="23" customFormat="false" ht="18" hidden="false" customHeight="true" outlineLevel="0" collapsed="false">
      <c r="B23" s="49"/>
      <c r="C23" s="46"/>
      <c r="D23" s="50"/>
      <c r="E23" s="50"/>
      <c r="F23" s="50"/>
      <c r="G23" s="51" t="n">
        <f aca="false">IFERROR(F23/(E23+F23),0)</f>
        <v>0</v>
      </c>
      <c r="H23" s="50"/>
      <c r="I23" s="50"/>
      <c r="J23" s="52" t="n">
        <f aca="false">IFERROR(I23/H23,0)</f>
        <v>0</v>
      </c>
      <c r="K23" s="10" t="str">
        <f aca="false">IF(F23&gt;0,IF(J23&gt;0.9,"🔴 OOM/Queue Full","🟡 Queue Overflow"),"✅ None")</f>
        <v>✅ None</v>
      </c>
    </row>
    <row r="24" customFormat="false" ht="18" hidden="false" customHeight="true" outlineLevel="0" collapsed="false">
      <c r="B24" s="48"/>
      <c r="C24" s="46"/>
      <c r="D24" s="50"/>
      <c r="E24" s="50"/>
      <c r="F24" s="50"/>
      <c r="G24" s="51" t="n">
        <f aca="false">IFERROR(F24/(E24+F24),0)</f>
        <v>0</v>
      </c>
      <c r="H24" s="50"/>
      <c r="I24" s="50"/>
      <c r="J24" s="52" t="n">
        <f aca="false">IFERROR(I24/H24,0)</f>
        <v>0</v>
      </c>
      <c r="K24" s="16" t="str">
        <f aca="false">IF(F24&gt;0,IF(J24&gt;0.9,"🔴 OOM/Queue Full","🟡 Queue Overflow"),"✅ None")</f>
        <v>✅ None</v>
      </c>
    </row>
    <row r="25" customFormat="false" ht="18" hidden="false" customHeight="true" outlineLevel="0" collapsed="false">
      <c r="B25" s="49"/>
      <c r="C25" s="46"/>
      <c r="D25" s="50"/>
      <c r="E25" s="50"/>
      <c r="F25" s="50"/>
      <c r="G25" s="51" t="n">
        <f aca="false">IFERROR(F25/(E25+F25),0)</f>
        <v>0</v>
      </c>
      <c r="H25" s="50"/>
      <c r="I25" s="50"/>
      <c r="J25" s="52" t="n">
        <f aca="false">IFERROR(I25/H25,0)</f>
        <v>0</v>
      </c>
      <c r="K25" s="10" t="str">
        <f aca="false">IF(F25&gt;0,IF(J25&gt;0.9,"🔴 OOM/Queue Full","🟡 Queue Overflow"),"✅ None")</f>
        <v>✅ None</v>
      </c>
    </row>
    <row r="26" customFormat="false" ht="18" hidden="false" customHeight="true" outlineLevel="0" collapsed="false">
      <c r="B26" s="48"/>
      <c r="C26" s="46"/>
      <c r="D26" s="50"/>
      <c r="E26" s="50"/>
      <c r="F26" s="50"/>
      <c r="G26" s="51" t="n">
        <f aca="false">IFERROR(F26/(E26+F26),0)</f>
        <v>0</v>
      </c>
      <c r="H26" s="50"/>
      <c r="I26" s="50"/>
      <c r="J26" s="52" t="n">
        <f aca="false">IFERROR(I26/H26,0)</f>
        <v>0</v>
      </c>
      <c r="K26" s="16" t="str">
        <f aca="false">IF(F26&gt;0,IF(J26&gt;0.9,"🔴 OOM/Queue Full","🟡 Queue Overflow"),"✅ None")</f>
        <v>✅ None</v>
      </c>
    </row>
    <row r="27" customFormat="false" ht="18" hidden="false" customHeight="true" outlineLevel="0" collapsed="false">
      <c r="B27" s="49"/>
      <c r="C27" s="46"/>
      <c r="D27" s="50"/>
      <c r="E27" s="50"/>
      <c r="F27" s="50"/>
      <c r="G27" s="51" t="n">
        <f aca="false">IFERROR(F27/(E27+F27),0)</f>
        <v>0</v>
      </c>
      <c r="H27" s="50"/>
      <c r="I27" s="50"/>
      <c r="J27" s="52" t="n">
        <f aca="false">IFERROR(I27/H27,0)</f>
        <v>0</v>
      </c>
      <c r="K27" s="10" t="str">
        <f aca="false">IF(F27&gt;0,IF(J27&gt;0.9,"🔴 OOM/Queue Full","🟡 Queue Overflow"),"✅ None")</f>
        <v>✅ None</v>
      </c>
    </row>
    <row r="28" customFormat="false" ht="18" hidden="false" customHeight="true" outlineLevel="0" collapsed="false">
      <c r="B28" s="48"/>
      <c r="C28" s="46"/>
      <c r="D28" s="50"/>
      <c r="E28" s="50"/>
      <c r="F28" s="50"/>
      <c r="G28" s="51" t="n">
        <f aca="false">IFERROR(F28/(E28+F28),0)</f>
        <v>0</v>
      </c>
      <c r="H28" s="50"/>
      <c r="I28" s="50"/>
      <c r="J28" s="52" t="n">
        <f aca="false">IFERROR(I28/H28,0)</f>
        <v>0</v>
      </c>
      <c r="K28" s="16" t="str">
        <f aca="false">IF(F28&gt;0,IF(J28&gt;0.9,"🔴 OOM/Queue Full","🟡 Queue Overflow"),"✅ None")</f>
        <v>✅ None</v>
      </c>
    </row>
    <row r="29" customFormat="false" ht="18" hidden="false" customHeight="true" outlineLevel="0" collapsed="false">
      <c r="B29" s="49"/>
      <c r="C29" s="46"/>
      <c r="D29" s="50"/>
      <c r="E29" s="50"/>
      <c r="F29" s="50"/>
      <c r="G29" s="51" t="n">
        <f aca="false">IFERROR(F29/(E29+F29),0)</f>
        <v>0</v>
      </c>
      <c r="H29" s="50"/>
      <c r="I29" s="50"/>
      <c r="J29" s="52" t="n">
        <f aca="false">IFERROR(I29/H29,0)</f>
        <v>0</v>
      </c>
      <c r="K29" s="10" t="str">
        <f aca="false">IF(F29&gt;0,IF(J29&gt;0.9,"🔴 OOM/Queue Full","🟡 Queue Overflow"),"✅ None")</f>
        <v>✅ None</v>
      </c>
    </row>
    <row r="30" customFormat="false" ht="18" hidden="false" customHeight="true" outlineLevel="0" collapsed="false">
      <c r="B30" s="48"/>
      <c r="C30" s="46"/>
      <c r="D30" s="50"/>
      <c r="E30" s="50"/>
      <c r="F30" s="50"/>
      <c r="G30" s="51" t="n">
        <f aca="false">IFERROR(F30/(E30+F30),0)</f>
        <v>0</v>
      </c>
      <c r="H30" s="50"/>
      <c r="I30" s="50"/>
      <c r="J30" s="52" t="n">
        <f aca="false">IFERROR(I30/H30,0)</f>
        <v>0</v>
      </c>
      <c r="K30" s="16" t="str">
        <f aca="false">IF(F30&gt;0,IF(J30&gt;0.9,"🔴 OOM/Queue Full","🟡 Queue Overflow"),"✅ None")</f>
        <v>✅ None</v>
      </c>
    </row>
    <row r="31" customFormat="false" ht="18" hidden="false" customHeight="true" outlineLevel="0" collapsed="false">
      <c r="B31" s="49"/>
      <c r="C31" s="46"/>
      <c r="D31" s="50"/>
      <c r="E31" s="50"/>
      <c r="F31" s="50"/>
      <c r="G31" s="51" t="n">
        <f aca="false">IFERROR(F31/(E31+F31),0)</f>
        <v>0</v>
      </c>
      <c r="H31" s="50"/>
      <c r="I31" s="50"/>
      <c r="J31" s="52" t="n">
        <f aca="false">IFERROR(I31/H31,0)</f>
        <v>0</v>
      </c>
      <c r="K31" s="10" t="str">
        <f aca="false">IF(F31&gt;0,IF(J31&gt;0.9,"🔴 OOM/Queue Full","🟡 Queue Overflow"),"✅ None")</f>
        <v>✅ None</v>
      </c>
    </row>
    <row r="32" customFormat="false" ht="18" hidden="false" customHeight="true" outlineLevel="0" collapsed="false">
      <c r="B32" s="48"/>
      <c r="C32" s="46"/>
      <c r="D32" s="50"/>
      <c r="E32" s="50"/>
      <c r="F32" s="50"/>
      <c r="G32" s="51" t="n">
        <f aca="false">IFERROR(F32/(E32+F32),0)</f>
        <v>0</v>
      </c>
      <c r="H32" s="50"/>
      <c r="I32" s="50"/>
      <c r="J32" s="52" t="n">
        <f aca="false">IFERROR(I32/H32,0)</f>
        <v>0</v>
      </c>
      <c r="K32" s="16" t="str">
        <f aca="false">IF(F32&gt;0,IF(J32&gt;0.9,"🔴 OOM/Queue Full","🟡 Queue Overflow"),"✅ None")</f>
        <v>✅ None</v>
      </c>
    </row>
    <row r="33" customFormat="false" ht="18" hidden="false" customHeight="true" outlineLevel="0" collapsed="false">
      <c r="B33" s="49"/>
      <c r="C33" s="46"/>
      <c r="D33" s="50"/>
      <c r="E33" s="50"/>
      <c r="F33" s="50"/>
      <c r="G33" s="51" t="n">
        <f aca="false">IFERROR(F33/(E33+F33),0)</f>
        <v>0</v>
      </c>
      <c r="H33" s="50"/>
      <c r="I33" s="50"/>
      <c r="J33" s="52" t="n">
        <f aca="false">IFERROR(I33/H33,0)</f>
        <v>0</v>
      </c>
      <c r="K33" s="10" t="str">
        <f aca="false">IF(F33&gt;0,IF(J33&gt;0.9,"🔴 OOM/Queue Full","🟡 Queue Overflow"),"✅ None")</f>
        <v>✅ None</v>
      </c>
    </row>
    <row r="34" customFormat="false" ht="18" hidden="false" customHeight="true" outlineLevel="0" collapsed="false">
      <c r="B34" s="48"/>
      <c r="C34" s="46"/>
      <c r="D34" s="50"/>
      <c r="E34" s="50"/>
      <c r="F34" s="50"/>
      <c r="G34" s="51" t="n">
        <f aca="false">IFERROR(F34/(E34+F34),0)</f>
        <v>0</v>
      </c>
      <c r="H34" s="50"/>
      <c r="I34" s="50"/>
      <c r="J34" s="52" t="n">
        <f aca="false">IFERROR(I34/H34,0)</f>
        <v>0</v>
      </c>
      <c r="K34" s="16" t="str">
        <f aca="false">IF(F34&gt;0,IF(J34&gt;0.9,"🔴 OOM/Queue Full","🟡 Queue Overflow"),"✅ None")</f>
        <v>✅ None</v>
      </c>
    </row>
    <row r="35" customFormat="false" ht="18" hidden="false" customHeight="true" outlineLevel="0" collapsed="false">
      <c r="B35" s="49"/>
      <c r="C35" s="46"/>
      <c r="D35" s="50"/>
      <c r="E35" s="50"/>
      <c r="F35" s="50"/>
      <c r="G35" s="51" t="n">
        <f aca="false">IFERROR(F35/(E35+F35),0)</f>
        <v>0</v>
      </c>
      <c r="H35" s="50"/>
      <c r="I35" s="50"/>
      <c r="J35" s="52" t="n">
        <f aca="false">IFERROR(I35/H35,0)</f>
        <v>0</v>
      </c>
      <c r="K35" s="10" t="str">
        <f aca="false">IF(F35&gt;0,IF(J35&gt;0.9,"🔴 OOM/Queue Full","🟡 Queue Overflow"),"✅ None")</f>
        <v>✅ None</v>
      </c>
    </row>
    <row r="36" customFormat="false" ht="18" hidden="false" customHeight="true" outlineLevel="0" collapsed="false">
      <c r="B36" s="48"/>
      <c r="C36" s="46"/>
      <c r="D36" s="50"/>
      <c r="E36" s="50"/>
      <c r="F36" s="50"/>
      <c r="G36" s="51" t="n">
        <f aca="false">IFERROR(F36/(E36+F36),0)</f>
        <v>0</v>
      </c>
      <c r="H36" s="50"/>
      <c r="I36" s="50"/>
      <c r="J36" s="52" t="n">
        <f aca="false">IFERROR(I36/H36,0)</f>
        <v>0</v>
      </c>
      <c r="K36" s="16" t="str">
        <f aca="false">IF(F36&gt;0,IF(J36&gt;0.9,"🔴 OOM/Queue Full","🟡 Queue Overflow"),"✅ None")</f>
        <v>✅ None</v>
      </c>
    </row>
    <row r="37" customFormat="false" ht="18" hidden="false" customHeight="true" outlineLevel="0" collapsed="false">
      <c r="B37" s="49"/>
      <c r="C37" s="46"/>
      <c r="D37" s="50"/>
      <c r="E37" s="50"/>
      <c r="F37" s="50"/>
      <c r="G37" s="51" t="n">
        <f aca="false">IFERROR(F37/(E37+F37),0)</f>
        <v>0</v>
      </c>
      <c r="H37" s="50"/>
      <c r="I37" s="50"/>
      <c r="J37" s="52" t="n">
        <f aca="false">IFERROR(I37/H37,0)</f>
        <v>0</v>
      </c>
      <c r="K37" s="10" t="str">
        <f aca="false">IF(F37&gt;0,IF(J37&gt;0.9,"🔴 OOM/Queue Full","🟡 Queue Overflow"),"✅ None")</f>
        <v>✅ None</v>
      </c>
    </row>
    <row r="38" customFormat="false" ht="18" hidden="false" customHeight="true" outlineLevel="0" collapsed="false">
      <c r="B38" s="48"/>
      <c r="C38" s="46"/>
      <c r="D38" s="50"/>
      <c r="E38" s="50"/>
      <c r="F38" s="50"/>
      <c r="G38" s="51" t="n">
        <f aca="false">IFERROR(F38/(E38+F38),0)</f>
        <v>0</v>
      </c>
      <c r="H38" s="50"/>
      <c r="I38" s="50"/>
      <c r="J38" s="52" t="n">
        <f aca="false">IFERROR(I38/H38,0)</f>
        <v>0</v>
      </c>
      <c r="K38" s="16" t="str">
        <f aca="false">IF(F38&gt;0,IF(J38&gt;0.9,"🔴 OOM/Queue Full","🟡 Queue Overflow"),"✅ None")</f>
        <v>✅ None</v>
      </c>
    </row>
    <row r="39" customFormat="false" ht="18" hidden="false" customHeight="true" outlineLevel="0" collapsed="false">
      <c r="B39" s="49"/>
      <c r="C39" s="46"/>
      <c r="D39" s="50"/>
      <c r="E39" s="50"/>
      <c r="F39" s="50"/>
      <c r="G39" s="51" t="n">
        <f aca="false">IFERROR(F39/(E39+F39),0)</f>
        <v>0</v>
      </c>
      <c r="H39" s="50"/>
      <c r="I39" s="50"/>
      <c r="J39" s="52" t="n">
        <f aca="false">IFERROR(I39/H39,0)</f>
        <v>0</v>
      </c>
      <c r="K39" s="10" t="str">
        <f aca="false">IF(F39&gt;0,IF(J39&gt;0.9,"🔴 OOM/Queue Full","🟡 Queue Overflow"),"✅ None")</f>
        <v>✅ None</v>
      </c>
    </row>
    <row r="40" customFormat="false" ht="18" hidden="false" customHeight="true" outlineLevel="0" collapsed="false">
      <c r="B40" s="48"/>
      <c r="C40" s="46"/>
      <c r="D40" s="50"/>
      <c r="E40" s="50"/>
      <c r="F40" s="50"/>
      <c r="G40" s="51" t="n">
        <f aca="false">IFERROR(F40/(E40+F40),0)</f>
        <v>0</v>
      </c>
      <c r="H40" s="50"/>
      <c r="I40" s="50"/>
      <c r="J40" s="52" t="n">
        <f aca="false">IFERROR(I40/H40,0)</f>
        <v>0</v>
      </c>
      <c r="K40" s="16" t="str">
        <f aca="false">IF(F40&gt;0,IF(J40&gt;0.9,"🔴 OOM/Queue Full","🟡 Queue Overflow"),"✅ None")</f>
        <v>✅ None</v>
      </c>
    </row>
    <row r="41" customFormat="false" ht="18" hidden="false" customHeight="true" outlineLevel="0" collapsed="false">
      <c r="B41" s="49"/>
      <c r="C41" s="46"/>
      <c r="D41" s="50"/>
      <c r="E41" s="50"/>
      <c r="F41" s="50"/>
      <c r="G41" s="51" t="n">
        <f aca="false">IFERROR(F41/(E41+F41),0)</f>
        <v>0</v>
      </c>
      <c r="H41" s="50"/>
      <c r="I41" s="50"/>
      <c r="J41" s="52" t="n">
        <f aca="false">IFERROR(I41/H41,0)</f>
        <v>0</v>
      </c>
      <c r="K41" s="10" t="str">
        <f aca="false">IF(F41&gt;0,IF(J41&gt;0.9,"🔴 OOM/Queue Full","🟡 Queue Overflow"),"✅ None")</f>
        <v>✅ None</v>
      </c>
    </row>
    <row r="42" customFormat="false" ht="18" hidden="false" customHeight="true" outlineLevel="0" collapsed="false">
      <c r="B42" s="48"/>
      <c r="C42" s="46"/>
      <c r="D42" s="50"/>
      <c r="E42" s="50"/>
      <c r="F42" s="50"/>
      <c r="G42" s="51" t="n">
        <f aca="false">IFERROR(F42/(E42+F42),0)</f>
        <v>0</v>
      </c>
      <c r="H42" s="50"/>
      <c r="I42" s="50"/>
      <c r="J42" s="52" t="n">
        <f aca="false">IFERROR(I42/H42,0)</f>
        <v>0</v>
      </c>
      <c r="K42" s="16" t="str">
        <f aca="false">IF(F42&gt;0,IF(J42&gt;0.9,"🔴 OOM/Queue Full","🟡 Queue Overflow"),"✅ None")</f>
        <v>✅ None</v>
      </c>
    </row>
    <row r="43" customFormat="false" ht="18" hidden="false" customHeight="true" outlineLevel="0" collapsed="false">
      <c r="B43" s="49"/>
      <c r="C43" s="46"/>
      <c r="D43" s="50"/>
      <c r="E43" s="50"/>
      <c r="F43" s="50"/>
      <c r="G43" s="51" t="n">
        <f aca="false">IFERROR(F43/(E43+F43),0)</f>
        <v>0</v>
      </c>
      <c r="H43" s="50"/>
      <c r="I43" s="50"/>
      <c r="J43" s="52" t="n">
        <f aca="false">IFERROR(I43/H43,0)</f>
        <v>0</v>
      </c>
      <c r="K43" s="10" t="str">
        <f aca="false">IF(F43&gt;0,IF(J43&gt;0.9,"🔴 OOM/Queue Full","🟡 Queue Overflow"),"✅ None")</f>
        <v>✅ None</v>
      </c>
    </row>
    <row r="44" customFormat="false" ht="18" hidden="false" customHeight="true" outlineLevel="0" collapsed="false">
      <c r="B44" s="48"/>
      <c r="C44" s="46"/>
      <c r="D44" s="50"/>
      <c r="E44" s="50"/>
      <c r="F44" s="50"/>
      <c r="G44" s="51" t="n">
        <f aca="false">IFERROR(F44/(E44+F44),0)</f>
        <v>0</v>
      </c>
      <c r="H44" s="50"/>
      <c r="I44" s="50"/>
      <c r="J44" s="52" t="n">
        <f aca="false">IFERROR(I44/H44,0)</f>
        <v>0</v>
      </c>
      <c r="K44" s="16" t="str">
        <f aca="false">IF(F44&gt;0,IF(J44&gt;0.9,"🔴 OOM/Queue Full","🟡 Queue Overflow"),"✅ None")</f>
        <v>✅ None</v>
      </c>
    </row>
    <row r="45" customFormat="false" ht="18" hidden="false" customHeight="true" outlineLevel="0" collapsed="false">
      <c r="B45" s="49"/>
      <c r="C45" s="46"/>
      <c r="D45" s="50"/>
      <c r="E45" s="50"/>
      <c r="F45" s="50"/>
      <c r="G45" s="51" t="n">
        <f aca="false">IFERROR(F45/(E45+F45),0)</f>
        <v>0</v>
      </c>
      <c r="H45" s="50"/>
      <c r="I45" s="50"/>
      <c r="J45" s="52" t="n">
        <f aca="false">IFERROR(I45/H45,0)</f>
        <v>0</v>
      </c>
      <c r="K45" s="10" t="str">
        <f aca="false">IF(F45&gt;0,IF(J45&gt;0.9,"🔴 OOM/Queue Full","🟡 Queue Overflow"),"✅ None")</f>
        <v>✅ None</v>
      </c>
    </row>
    <row r="46" customFormat="false" ht="18" hidden="false" customHeight="true" outlineLevel="0" collapsed="false">
      <c r="B46" s="48"/>
      <c r="C46" s="46"/>
      <c r="D46" s="50"/>
      <c r="E46" s="50"/>
      <c r="F46" s="50"/>
      <c r="G46" s="51" t="n">
        <f aca="false">IFERROR(F46/(E46+F46),0)</f>
        <v>0</v>
      </c>
      <c r="H46" s="50"/>
      <c r="I46" s="50"/>
      <c r="J46" s="52" t="n">
        <f aca="false">IFERROR(I46/H46,0)</f>
        <v>0</v>
      </c>
      <c r="K46" s="16" t="str">
        <f aca="false">IF(F46&gt;0,IF(J46&gt;0.9,"🔴 OOM/Queue Full","🟡 Queue Overflow"),"✅ None")</f>
        <v>✅ None</v>
      </c>
    </row>
    <row r="47" customFormat="false" ht="18" hidden="false" customHeight="true" outlineLevel="0" collapsed="false">
      <c r="B47" s="49"/>
      <c r="C47" s="46"/>
      <c r="D47" s="50"/>
      <c r="E47" s="50"/>
      <c r="F47" s="50"/>
      <c r="G47" s="51" t="n">
        <f aca="false">IFERROR(F47/(E47+F47),0)</f>
        <v>0</v>
      </c>
      <c r="H47" s="50"/>
      <c r="I47" s="50"/>
      <c r="J47" s="52" t="n">
        <f aca="false">IFERROR(I47/H47,0)</f>
        <v>0</v>
      </c>
      <c r="K47" s="10" t="str">
        <f aca="false">IF(F47&gt;0,IF(J47&gt;0.9,"🔴 OOM/Queue Full","🟡 Queue Overflow"),"✅ None")</f>
        <v>✅ None</v>
      </c>
    </row>
    <row r="48" customFormat="false" ht="18" hidden="false" customHeight="true" outlineLevel="0" collapsed="false">
      <c r="B48" s="48"/>
      <c r="C48" s="46"/>
      <c r="D48" s="50"/>
      <c r="E48" s="50"/>
      <c r="F48" s="50"/>
      <c r="G48" s="51" t="n">
        <f aca="false">IFERROR(F48/(E48+F48),0)</f>
        <v>0</v>
      </c>
      <c r="H48" s="50"/>
      <c r="I48" s="50"/>
      <c r="J48" s="52" t="n">
        <f aca="false">IFERROR(I48/H48,0)</f>
        <v>0</v>
      </c>
      <c r="K48" s="16" t="str">
        <f aca="false">IF(F48&gt;0,IF(J48&gt;0.9,"🔴 OOM/Queue Full","🟡 Queue Overflow"),"✅ None")</f>
        <v>✅ None</v>
      </c>
    </row>
    <row r="49" customFormat="false" ht="18" hidden="false" customHeight="true" outlineLevel="0" collapsed="false">
      <c r="B49" s="49"/>
      <c r="C49" s="46"/>
      <c r="D49" s="50"/>
      <c r="E49" s="50"/>
      <c r="F49" s="50"/>
      <c r="G49" s="51" t="n">
        <f aca="false">IFERROR(F49/(E49+F49),0)</f>
        <v>0</v>
      </c>
      <c r="H49" s="50"/>
      <c r="I49" s="50"/>
      <c r="J49" s="52" t="n">
        <f aca="false">IFERROR(I49/H49,0)</f>
        <v>0</v>
      </c>
      <c r="K49" s="10" t="str">
        <f aca="false">IF(F49&gt;0,IF(J49&gt;0.9,"🔴 OOM/Queue Full","🟡 Queue Overflow"),"✅ None")</f>
        <v>✅ None</v>
      </c>
    </row>
    <row r="50" customFormat="false" ht="18" hidden="false" customHeight="true" outlineLevel="0" collapsed="false">
      <c r="B50" s="48"/>
      <c r="C50" s="46"/>
      <c r="D50" s="50"/>
      <c r="E50" s="50"/>
      <c r="F50" s="50"/>
      <c r="G50" s="51" t="n">
        <f aca="false">IFERROR(F50/(E50+F50),0)</f>
        <v>0</v>
      </c>
      <c r="H50" s="50"/>
      <c r="I50" s="50"/>
      <c r="J50" s="52" t="n">
        <f aca="false">IFERROR(I50/H50,0)</f>
        <v>0</v>
      </c>
      <c r="K50" s="16" t="str">
        <f aca="false">IF(F50&gt;0,IF(J50&gt;0.9,"🔴 OOM/Queue Full","🟡 Queue Overflow"),"✅ None")</f>
        <v>✅ None</v>
      </c>
    </row>
    <row r="51" customFormat="false" ht="18" hidden="false" customHeight="true" outlineLevel="0" collapsed="false">
      <c r="B51" s="49"/>
      <c r="C51" s="46"/>
      <c r="D51" s="50"/>
      <c r="E51" s="50"/>
      <c r="F51" s="50"/>
      <c r="G51" s="51" t="n">
        <f aca="false">IFERROR(F51/(E51+F51),0)</f>
        <v>0</v>
      </c>
      <c r="H51" s="50"/>
      <c r="I51" s="50"/>
      <c r="J51" s="52" t="n">
        <f aca="false">IFERROR(I51/H51,0)</f>
        <v>0</v>
      </c>
      <c r="K51" s="10" t="str">
        <f aca="false">IF(F51&gt;0,IF(J51&gt;0.9,"🔴 OOM/Queue Full","🟡 Queue Overflow"),"✅ None")</f>
        <v>✅ None</v>
      </c>
    </row>
    <row r="52" customFormat="false" ht="18" hidden="false" customHeight="true" outlineLevel="0" collapsed="false">
      <c r="B52" s="48"/>
      <c r="C52" s="46"/>
      <c r="D52" s="50"/>
      <c r="E52" s="50"/>
      <c r="F52" s="50"/>
      <c r="G52" s="51" t="n">
        <f aca="false">IFERROR(F52/(E52+F52),0)</f>
        <v>0</v>
      </c>
      <c r="H52" s="50"/>
      <c r="I52" s="50"/>
      <c r="J52" s="52" t="n">
        <f aca="false">IFERROR(I52/H52,0)</f>
        <v>0</v>
      </c>
      <c r="K52" s="16" t="str">
        <f aca="false">IF(F52&gt;0,IF(J52&gt;0.9,"🔴 OOM/Queue Full","🟡 Queue Overflow"),"✅ None")</f>
        <v>✅ None</v>
      </c>
    </row>
    <row r="53" customFormat="false" ht="18" hidden="false" customHeight="true" outlineLevel="0" collapsed="false">
      <c r="B53" s="49"/>
      <c r="C53" s="46"/>
      <c r="D53" s="50"/>
      <c r="E53" s="50"/>
      <c r="F53" s="50"/>
      <c r="G53" s="51" t="n">
        <f aca="false">IFERROR(F53/(E53+F53),0)</f>
        <v>0</v>
      </c>
      <c r="H53" s="50"/>
      <c r="I53" s="50"/>
      <c r="J53" s="52" t="n">
        <f aca="false">IFERROR(I53/H53,0)</f>
        <v>0</v>
      </c>
      <c r="K53" s="10" t="str">
        <f aca="false">IF(F53&gt;0,IF(J53&gt;0.9,"🔴 OOM/Queue Full","🟡 Queue Overflow"),"✅ None")</f>
        <v>✅ None</v>
      </c>
    </row>
    <row r="54" customFormat="false" ht="18" hidden="false" customHeight="true" outlineLevel="0" collapsed="false">
      <c r="B54" s="48"/>
      <c r="C54" s="46"/>
      <c r="D54" s="50"/>
      <c r="E54" s="50"/>
      <c r="F54" s="50"/>
      <c r="G54" s="51" t="n">
        <f aca="false">IFERROR(F54/(E54+F54),0)</f>
        <v>0</v>
      </c>
      <c r="H54" s="50"/>
      <c r="I54" s="50"/>
      <c r="J54" s="52" t="n">
        <f aca="false">IFERROR(I54/H54,0)</f>
        <v>0</v>
      </c>
      <c r="K54" s="16" t="str">
        <f aca="false">IF(F54&gt;0,IF(J54&gt;0.9,"🔴 OOM/Queue Full","🟡 Queue Overflow"),"✅ None")</f>
        <v>✅ None</v>
      </c>
    </row>
    <row r="55" customFormat="false" ht="18" hidden="false" customHeight="true" outlineLevel="0" collapsed="false">
      <c r="B55" s="49"/>
      <c r="C55" s="46"/>
      <c r="D55" s="50"/>
      <c r="E55" s="50"/>
      <c r="F55" s="50"/>
      <c r="G55" s="51" t="n">
        <f aca="false">IFERROR(F55/(E55+F55),0)</f>
        <v>0</v>
      </c>
      <c r="H55" s="50"/>
      <c r="I55" s="50"/>
      <c r="J55" s="52" t="n">
        <f aca="false">IFERROR(I55/H55,0)</f>
        <v>0</v>
      </c>
      <c r="K55" s="10" t="str">
        <f aca="false">IF(F55&gt;0,IF(J55&gt;0.9,"🔴 OOM/Queue Full","🟡 Queue Overflow"),"✅ None")</f>
        <v>✅ None</v>
      </c>
    </row>
    <row r="56" customFormat="false" ht="18" hidden="false" customHeight="true" outlineLevel="0" collapsed="false">
      <c r="B56" s="48"/>
      <c r="C56" s="46"/>
      <c r="D56" s="50"/>
      <c r="E56" s="50"/>
      <c r="F56" s="50"/>
      <c r="G56" s="51" t="n">
        <f aca="false">IFERROR(F56/(E56+F56),0)</f>
        <v>0</v>
      </c>
      <c r="H56" s="50"/>
      <c r="I56" s="50"/>
      <c r="J56" s="52" t="n">
        <f aca="false">IFERROR(I56/H56,0)</f>
        <v>0</v>
      </c>
      <c r="K56" s="16" t="str">
        <f aca="false">IF(F56&gt;0,IF(J56&gt;0.9,"🔴 OOM/Queue Full","🟡 Queue Overflow"),"✅ None")</f>
        <v>✅ None</v>
      </c>
    </row>
  </sheetData>
  <mergeCells count="3">
    <mergeCell ref="B1:K1"/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38"/>
    <col collapsed="false" customWidth="true" hidden="false" outlineLevel="0" max="6" min="6" style="0" width="3"/>
  </cols>
  <sheetData>
    <row r="1" customFormat="false" ht="31.5" hidden="false" customHeight="true" outlineLevel="0" collapsed="false">
      <c r="B1" s="39" t="s">
        <v>188</v>
      </c>
      <c r="C1" s="39"/>
      <c r="D1" s="39"/>
      <c r="E1" s="39"/>
    </row>
    <row r="3" customFormat="false" ht="21.75" hidden="false" customHeight="true" outlineLevel="0" collapsed="false">
      <c r="B3" s="67" t="s">
        <v>115</v>
      </c>
      <c r="C3" s="67"/>
      <c r="D3" s="67"/>
      <c r="E3" s="67"/>
    </row>
    <row r="4" customFormat="false" ht="19.5" hidden="false" customHeight="true" outlineLevel="0" collapsed="false">
      <c r="B4" s="53" t="s">
        <v>116</v>
      </c>
      <c r="C4" s="54" t="n">
        <f aca="false">'🖥 DC3 Inventory'!C4</f>
        <v>2</v>
      </c>
      <c r="D4" s="45" t="s">
        <v>117</v>
      </c>
    </row>
    <row r="5" customFormat="false" ht="19.5" hidden="false" customHeight="true" outlineLevel="0" collapsed="false">
      <c r="B5" s="53" t="s">
        <v>118</v>
      </c>
      <c r="C5" s="52" t="n">
        <f aca="false">'🖥 DC3 Inventory'!H4</f>
        <v>0.415</v>
      </c>
      <c r="D5" s="45" t="s">
        <v>119</v>
      </c>
    </row>
    <row r="6" customFormat="false" ht="19.5" hidden="false" customHeight="true" outlineLevel="0" collapsed="false">
      <c r="B6" s="53" t="s">
        <v>120</v>
      </c>
      <c r="C6" s="52" t="n">
        <f aca="false">'🖥 DC3 Inventory'!I4</f>
        <v>0.48</v>
      </c>
      <c r="D6" s="45" t="s">
        <v>119</v>
      </c>
    </row>
    <row r="7" customFormat="false" ht="19.5" hidden="false" customHeight="true" outlineLevel="0" collapsed="false">
      <c r="B7" s="53" t="s">
        <v>121</v>
      </c>
      <c r="C7" s="54" t="n">
        <f aca="false">'🖥 DC3 Inventory'!D4</f>
        <v>12</v>
      </c>
      <c r="D7" s="45" t="s">
        <v>84</v>
      </c>
    </row>
    <row r="8" customFormat="false" ht="19.5" hidden="false" customHeight="true" outlineLevel="0" collapsed="false">
      <c r="B8" s="53" t="s">
        <v>122</v>
      </c>
      <c r="C8" s="54" t="n">
        <f aca="false">'🖥 DC3 Inventory'!E4</f>
        <v>48</v>
      </c>
      <c r="D8" s="45" t="s">
        <v>123</v>
      </c>
    </row>
    <row r="9" customFormat="false" ht="19.5" hidden="false" customHeight="true" outlineLevel="0" collapsed="false">
      <c r="B9" s="53" t="s">
        <v>124</v>
      </c>
      <c r="C9" s="54" t="n">
        <f aca="false">'📡 DC3 Metrics'!C4</f>
        <v>33930</v>
      </c>
      <c r="D9" s="45" t="s">
        <v>125</v>
      </c>
    </row>
    <row r="10" customFormat="false" ht="19.5" hidden="false" customHeight="true" outlineLevel="0" collapsed="false">
      <c r="B10" s="53" t="s">
        <v>126</v>
      </c>
      <c r="C10" s="54" t="n">
        <f aca="false">'📡 DC3 Metrics'!D4</f>
        <v>40</v>
      </c>
      <c r="D10" s="45" t="s">
        <v>127</v>
      </c>
    </row>
    <row r="11" customFormat="false" ht="19.5" hidden="false" customHeight="true" outlineLevel="0" collapsed="false">
      <c r="B11" s="53" t="s">
        <v>128</v>
      </c>
      <c r="C11" s="51" t="n">
        <f aca="false">'📡 DC3 Metrics'!E4</f>
        <v>0.00117750956726523</v>
      </c>
      <c r="D11" s="45" t="s">
        <v>119</v>
      </c>
    </row>
    <row r="12" customFormat="false" ht="19.5" hidden="false" customHeight="true" outlineLevel="0" collapsed="false">
      <c r="B12" s="53" t="s">
        <v>129</v>
      </c>
      <c r="C12" s="55" t="n">
        <f aca="false">'📡 DC3 Metrics'!G4</f>
        <v>2</v>
      </c>
      <c r="D12" s="45" t="s">
        <v>117</v>
      </c>
    </row>
    <row r="14" customFormat="false" ht="21.75" hidden="false" customHeight="true" outlineLevel="0" collapsed="false">
      <c r="B14" s="67" t="s">
        <v>130</v>
      </c>
      <c r="C14" s="67"/>
      <c r="D14" s="67"/>
      <c r="E14" s="67"/>
    </row>
    <row r="15" customFormat="false" ht="19.5" hidden="false" customHeight="true" outlineLevel="0" collapsed="false">
      <c r="B15" s="53" t="s">
        <v>131</v>
      </c>
      <c r="C15" s="44" t="n">
        <v>0.65</v>
      </c>
      <c r="D15" s="45" t="s">
        <v>119</v>
      </c>
      <c r="E15" s="45" t="s">
        <v>132</v>
      </c>
    </row>
    <row r="16" customFormat="false" ht="19.5" hidden="false" customHeight="true" outlineLevel="0" collapsed="false">
      <c r="B16" s="53" t="s">
        <v>133</v>
      </c>
      <c r="C16" s="44" t="n">
        <v>0.7</v>
      </c>
      <c r="D16" s="45" t="s">
        <v>119</v>
      </c>
      <c r="E16" s="45" t="s">
        <v>134</v>
      </c>
    </row>
    <row r="17" customFormat="false" ht="19.5" hidden="false" customHeight="true" outlineLevel="0" collapsed="false">
      <c r="B17" s="53" t="s">
        <v>135</v>
      </c>
      <c r="C17" s="44" t="n">
        <v>0.3</v>
      </c>
      <c r="D17" s="45" t="s">
        <v>119</v>
      </c>
      <c r="E17" s="45" t="s">
        <v>136</v>
      </c>
    </row>
    <row r="18" customFormat="false" ht="19.5" hidden="false" customHeight="true" outlineLevel="0" collapsed="false">
      <c r="B18" s="53" t="s">
        <v>137</v>
      </c>
      <c r="C18" s="50" t="n">
        <v>15000</v>
      </c>
      <c r="D18" s="45" t="s">
        <v>125</v>
      </c>
      <c r="E18" s="45" t="s">
        <v>138</v>
      </c>
    </row>
    <row r="19" customFormat="false" ht="19.5" hidden="false" customHeight="true" outlineLevel="0" collapsed="false">
      <c r="B19" s="53" t="s">
        <v>139</v>
      </c>
      <c r="C19" s="56" t="n">
        <v>1.2</v>
      </c>
      <c r="D19" s="45" t="s">
        <v>140</v>
      </c>
      <c r="E19" s="45" t="s">
        <v>141</v>
      </c>
    </row>
    <row r="20" customFormat="false" ht="19.5" hidden="false" customHeight="true" outlineLevel="0" collapsed="false">
      <c r="B20" s="53" t="s">
        <v>142</v>
      </c>
      <c r="C20" s="50" t="n">
        <v>8</v>
      </c>
      <c r="D20" s="45" t="s">
        <v>84</v>
      </c>
      <c r="E20" s="45" t="s">
        <v>143</v>
      </c>
    </row>
    <row r="21" customFormat="false" ht="19.5" hidden="false" customHeight="true" outlineLevel="0" collapsed="false">
      <c r="B21" s="53" t="s">
        <v>144</v>
      </c>
      <c r="C21" s="50" t="n">
        <v>32</v>
      </c>
      <c r="D21" s="45" t="s">
        <v>123</v>
      </c>
      <c r="E21" s="45" t="s">
        <v>143</v>
      </c>
    </row>
    <row r="23" customFormat="false" ht="21.75" hidden="false" customHeight="true" outlineLevel="0" collapsed="false">
      <c r="B23" s="67" t="s">
        <v>145</v>
      </c>
      <c r="C23" s="67"/>
      <c r="D23" s="67"/>
      <c r="E23" s="67"/>
    </row>
    <row r="24" customFormat="false" ht="19.5" hidden="false" customHeight="true" outlineLevel="0" collapsed="false">
      <c r="B24" s="57" t="s">
        <v>146</v>
      </c>
      <c r="C24" s="58" t="n">
        <f aca="false">C10*(1+C17)</f>
        <v>52</v>
      </c>
      <c r="D24" s="36"/>
      <c r="E24" s="36" t="s">
        <v>147</v>
      </c>
    </row>
    <row r="25" customFormat="false" ht="19.5" hidden="false" customHeight="true" outlineLevel="0" collapsed="false">
      <c r="B25" s="57" t="s">
        <v>148</v>
      </c>
      <c r="C25" s="59" t="n">
        <f aca="false">CEILING(C24/C18,1)</f>
        <v>1</v>
      </c>
      <c r="D25" s="36"/>
      <c r="E25" s="36" t="s">
        <v>149</v>
      </c>
    </row>
    <row r="26" customFormat="false" ht="19.5" hidden="false" customHeight="true" outlineLevel="0" collapsed="false">
      <c r="B26" s="57" t="s">
        <v>150</v>
      </c>
      <c r="C26" s="59" t="n">
        <f aca="false">CEILING(C4*(C5/C15),1)</f>
        <v>2</v>
      </c>
      <c r="D26" s="36"/>
      <c r="E26" s="36" t="s">
        <v>151</v>
      </c>
    </row>
    <row r="27" customFormat="false" ht="19.5" hidden="false" customHeight="true" outlineLevel="0" collapsed="false">
      <c r="B27" s="57" t="s">
        <v>152</v>
      </c>
      <c r="C27" s="59" t="n">
        <f aca="false">CEILING(C4*(C6/C16),1)</f>
        <v>2</v>
      </c>
      <c r="D27" s="36"/>
      <c r="E27" s="36" t="s">
        <v>153</v>
      </c>
    </row>
    <row r="28" customFormat="false" ht="19.5" hidden="false" customHeight="true" outlineLevel="0" collapsed="false">
      <c r="B28" s="57" t="s">
        <v>154</v>
      </c>
      <c r="C28" s="59" t="n">
        <f aca="false">MAX(C25,C26,C27)</f>
        <v>2</v>
      </c>
      <c r="D28" s="36"/>
      <c r="E28" s="36" t="s">
        <v>155</v>
      </c>
    </row>
    <row r="29" customFormat="false" ht="19.5" hidden="false" customHeight="true" outlineLevel="0" collapsed="false">
      <c r="B29" s="57" t="s">
        <v>156</v>
      </c>
      <c r="C29" s="59" t="n">
        <f aca="false">CEILING(C28*C19,1)</f>
        <v>3</v>
      </c>
      <c r="D29" s="36"/>
      <c r="E29" s="36" t="s">
        <v>157</v>
      </c>
    </row>
    <row r="30" customFormat="false" ht="19.5" hidden="false" customHeight="true" outlineLevel="0" collapsed="false">
      <c r="B30" s="60" t="s">
        <v>158</v>
      </c>
      <c r="C30" s="61" t="n">
        <f aca="false">MAX(0,C29-C4)</f>
        <v>1</v>
      </c>
      <c r="D30" s="60" t="s">
        <v>159</v>
      </c>
      <c r="E30" s="62" t="s">
        <v>160</v>
      </c>
    </row>
    <row r="31" customFormat="false" ht="19.5" hidden="false" customHeight="true" outlineLevel="0" collapsed="false">
      <c r="B31" s="57" t="s">
        <v>161</v>
      </c>
      <c r="C31" s="59" t="n">
        <f aca="false">C4+C30</f>
        <v>3</v>
      </c>
      <c r="D31" s="36"/>
      <c r="E31" s="36" t="s">
        <v>162</v>
      </c>
    </row>
    <row r="32" customFormat="false" ht="19.5" hidden="false" customHeight="true" outlineLevel="0" collapsed="false">
      <c r="B32" s="57" t="s">
        <v>163</v>
      </c>
      <c r="C32" s="58" t="n">
        <f aca="false">C30*C20</f>
        <v>8</v>
      </c>
      <c r="D32" s="36"/>
      <c r="E32" s="36" t="s">
        <v>164</v>
      </c>
    </row>
    <row r="33" customFormat="false" ht="19.5" hidden="false" customHeight="true" outlineLevel="0" collapsed="false">
      <c r="B33" s="57" t="s">
        <v>165</v>
      </c>
      <c r="C33" s="58" t="n">
        <f aca="false">C30*C21</f>
        <v>32</v>
      </c>
      <c r="D33" s="36"/>
      <c r="E33" s="36" t="s">
        <v>166</v>
      </c>
    </row>
    <row r="35" customFormat="false" ht="21.75" hidden="false" customHeight="true" outlineLevel="0" collapsed="false">
      <c r="B35" s="67" t="s">
        <v>167</v>
      </c>
      <c r="C35" s="67"/>
      <c r="D35" s="67"/>
      <c r="E35" s="67"/>
    </row>
    <row r="36" customFormat="false" ht="24" hidden="false" customHeight="true" outlineLevel="0" collapsed="false">
      <c r="B36" s="63" t="s">
        <v>168</v>
      </c>
      <c r="C36" s="64" t="str">
        <f aca="false">IF(C30&gt;0,"⚠️  ADD "&amp;C30&amp;" SERVER(S) to DC3-EU-Central to prevent data loss","✅  Current DC3-EU-Central fleet is sufficient")</f>
        <v>⚠️  ADD 1 SERVER(S) to DC3-EU-Central to prevent data loss</v>
      </c>
      <c r="D36" s="64"/>
      <c r="E36" s="64"/>
    </row>
    <row r="37" customFormat="false" ht="24" hidden="false" customHeight="true" outlineLevel="0" collapsed="false">
      <c r="B37" s="63" t="s">
        <v>169</v>
      </c>
      <c r="C37" s="64" t="str">
        <f aca="false">IF(AND(C26&gt;=C25,C26&gt;=C27),"Memory is bottleneck",IF(AND(C27&gt;=C25,C27&gt;=C26),"Span throughput is bottleneck","CPU is bottleneck"))</f>
        <v>Memory is bottleneck</v>
      </c>
      <c r="D37" s="64"/>
      <c r="E37" s="64"/>
    </row>
    <row r="38" customFormat="false" ht="24" hidden="false" customHeight="true" outlineLevel="0" collapsed="false">
      <c r="B38" s="63" t="s">
        <v>21</v>
      </c>
      <c r="C38" s="64" t="str">
        <f aca="false">IF(C11&gt;0,"🔴 IMMEDIATE – Drops actively occurring",IF(C5&gt;0.8,"🟡 HIGH – CPU critical",IF(C6&gt;0.85,"🟡 HIGH – Memory critical","🟢 PLANNED – Scale before growth")))</f>
        <v>🔴 IMMEDIATE – Drops actively occurring</v>
      </c>
      <c r="D38" s="64"/>
      <c r="E38" s="64"/>
    </row>
    <row r="39" customFormat="false" ht="24" hidden="false" customHeight="true" outlineLevel="0" collapsed="false">
      <c r="B39" s="63" t="s">
        <v>170</v>
      </c>
      <c r="C39" s="64" t="str">
        <f aca="false">IF(C11&gt;0,"Scale within 1-2 weeks",IF(C30&gt;0,"Plan scale-out within 1-3 months","No action needed now"))</f>
        <v>Scale within 1-2 weeks</v>
      </c>
      <c r="D39" s="64"/>
      <c r="E39" s="64"/>
    </row>
  </sheetData>
  <mergeCells count="9">
    <mergeCell ref="B1:E1"/>
    <mergeCell ref="B3:E3"/>
    <mergeCell ref="B14:E14"/>
    <mergeCell ref="B23:E23"/>
    <mergeCell ref="B35:E35"/>
    <mergeCell ref="C36:E36"/>
    <mergeCell ref="C37:E37"/>
    <mergeCell ref="C38:E38"/>
    <mergeCell ref="C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1" min="10" style="0" width="14"/>
    <col collapsed="false" customWidth="true" hidden="false" outlineLevel="0" max="12" min="12" style="0" width="20"/>
  </cols>
  <sheetData>
    <row r="1" customFormat="false" ht="31.5" hidden="false" customHeight="true" outlineLevel="0" collapsed="false">
      <c r="B1" s="39" t="s">
        <v>189</v>
      </c>
      <c r="C1" s="39"/>
      <c r="D1" s="39"/>
      <c r="E1" s="39"/>
      <c r="F1" s="39"/>
      <c r="G1" s="39"/>
      <c r="H1" s="39"/>
      <c r="I1" s="39"/>
      <c r="J1" s="39"/>
      <c r="K1" s="39"/>
      <c r="L1" s="39"/>
    </row>
    <row r="2" customFormat="false" ht="15" hidden="false" customHeight="true" outlineLevel="0" collapsed="false">
      <c r="B2" s="40" t="s">
        <v>75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customFormat="false" ht="21.75" hidden="false" customHeight="true" outlineLevel="0" collapsed="false">
      <c r="B3" s="69" t="s">
        <v>190</v>
      </c>
      <c r="C3" s="69"/>
      <c r="D3" s="69"/>
      <c r="E3" s="69"/>
      <c r="F3" s="69"/>
      <c r="G3" s="69"/>
      <c r="H3" s="69"/>
      <c r="I3" s="69"/>
      <c r="J3" s="69"/>
      <c r="K3" s="69"/>
      <c r="L3" s="69"/>
    </row>
    <row r="4" customFormat="false" ht="19.5" hidden="false" customHeight="true" outlineLevel="0" collapsed="false">
      <c r="B4" s="41" t="s">
        <v>77</v>
      </c>
      <c r="C4" s="42" t="n">
        <f aca="false">COUNTA(B7:B56)</f>
        <v>1</v>
      </c>
      <c r="D4" s="42" t="n">
        <f aca="false">SUM(D7:D56)</f>
        <v>8</v>
      </c>
      <c r="E4" s="42" t="n">
        <f aca="false">SUM(E7:E56)</f>
        <v>32</v>
      </c>
      <c r="H4" s="21" t="n">
        <f aca="false">IFERROR(AVERAGEIF(H7:H56,"&gt;0"),0)</f>
        <v>0.61</v>
      </c>
      <c r="I4" s="21" t="n">
        <f aca="false">IFERROR(AVERAGEIF(I7:I56,"&gt;0"),0)</f>
        <v>0.67</v>
      </c>
      <c r="J4" s="42" t="n">
        <f aca="false">COUNTIF(H7:H56,"&gt;"&amp;H5)</f>
        <v>0</v>
      </c>
      <c r="K4" s="42" t="n">
        <f aca="false">COUNTIF(I7:I56,"&gt;"&amp;I5)</f>
        <v>0</v>
      </c>
    </row>
    <row r="5" customFormat="false" ht="18" hidden="false" customHeight="true" outlineLevel="0" collapsed="false">
      <c r="B5" s="43" t="s">
        <v>78</v>
      </c>
      <c r="C5" s="43"/>
      <c r="D5" s="43"/>
      <c r="E5" s="43"/>
      <c r="F5" s="43"/>
      <c r="G5" s="43"/>
      <c r="H5" s="44" t="n">
        <v>0.7</v>
      </c>
      <c r="I5" s="44" t="n">
        <v>0.75</v>
      </c>
      <c r="J5" s="45" t="s">
        <v>79</v>
      </c>
      <c r="K5" s="45" t="s">
        <v>80</v>
      </c>
      <c r="L5" s="45" t="s">
        <v>81</v>
      </c>
    </row>
    <row r="6" customFormat="false" ht="27.75" hidden="false" customHeight="true" outlineLevel="0" collapsed="false">
      <c r="B6" s="70" t="s">
        <v>82</v>
      </c>
      <c r="C6" s="70" t="s">
        <v>83</v>
      </c>
      <c r="D6" s="70" t="s">
        <v>84</v>
      </c>
      <c r="E6" s="70" t="s">
        <v>85</v>
      </c>
      <c r="F6" s="70" t="s">
        <v>86</v>
      </c>
      <c r="G6" s="70" t="s">
        <v>87</v>
      </c>
      <c r="H6" s="70" t="s">
        <v>88</v>
      </c>
      <c r="I6" s="70" t="s">
        <v>89</v>
      </c>
      <c r="J6" s="70" t="s">
        <v>90</v>
      </c>
      <c r="K6" s="70" t="s">
        <v>91</v>
      </c>
      <c r="L6" s="70" t="s">
        <v>92</v>
      </c>
    </row>
    <row r="7" customFormat="false" ht="18" hidden="false" customHeight="true" outlineLevel="0" collapsed="false">
      <c r="B7" s="25" t="s">
        <v>191</v>
      </c>
      <c r="C7" s="25" t="s">
        <v>94</v>
      </c>
      <c r="D7" s="46" t="n">
        <v>8</v>
      </c>
      <c r="E7" s="46" t="n">
        <v>32</v>
      </c>
      <c r="F7" s="25" t="s">
        <v>95</v>
      </c>
      <c r="G7" s="25" t="s">
        <v>96</v>
      </c>
      <c r="H7" s="47" t="n">
        <v>0.61</v>
      </c>
      <c r="I7" s="47" t="n">
        <v>0.67</v>
      </c>
      <c r="J7" s="10" t="str">
        <f aca="false">IF(H7="","",IF(H7&gt;$H$5,"🔴 Over Limit",IF(H7&gt;$H$5*0.9,"🟡 Warning","✅ OK")))</f>
        <v>✅ OK</v>
      </c>
      <c r="K7" s="10" t="str">
        <f aca="false">IF(I7="","",IF(I7&gt;$I$5,"🔴 Over Limit",IF(I7&gt;$I$5*0.9,"🟡 Warning","✅ OK")))</f>
        <v>✅ OK</v>
      </c>
      <c r="L7" s="25" t="s">
        <v>95</v>
      </c>
    </row>
    <row r="8" customFormat="false" ht="18" hidden="false" customHeight="true" outlineLevel="0" collapsed="false">
      <c r="B8" s="48"/>
      <c r="C8" s="48"/>
      <c r="D8" s="46"/>
      <c r="E8" s="46"/>
      <c r="F8" s="48"/>
      <c r="G8" s="48"/>
      <c r="H8" s="47"/>
      <c r="I8" s="47"/>
      <c r="J8" s="16" t="str">
        <f aca="false">IF(H8="","",IF(H8&gt;$H$5,"🔴 Over Limit",IF(H8&gt;$H$5*0.9,"🟡 Warning","✅ OK")))</f>
        <v/>
      </c>
      <c r="K8" s="16" t="str">
        <f aca="false">IF(I8="","",IF(I8&gt;$I$5,"🔴 Over Limit",IF(I8&gt;$I$5*0.9,"🟡 Warning","✅ OK")))</f>
        <v/>
      </c>
      <c r="L8" s="48"/>
    </row>
    <row r="9" customFormat="false" ht="18" hidden="false" customHeight="true" outlineLevel="0" collapsed="false">
      <c r="B9" s="49"/>
      <c r="C9" s="49"/>
      <c r="D9" s="46"/>
      <c r="E9" s="46"/>
      <c r="F9" s="49"/>
      <c r="G9" s="49"/>
      <c r="H9" s="47"/>
      <c r="I9" s="47"/>
      <c r="J9" s="10" t="str">
        <f aca="false">IF(H9="","",IF(H9&gt;$H$5,"🔴 Over Limit",IF(H9&gt;$H$5*0.9,"🟡 Warning","✅ OK")))</f>
        <v/>
      </c>
      <c r="K9" s="10" t="str">
        <f aca="false">IF(I9="","",IF(I9&gt;$I$5,"🔴 Over Limit",IF(I9&gt;$I$5*0.9,"🟡 Warning","✅ OK")))</f>
        <v/>
      </c>
      <c r="L9" s="49"/>
    </row>
    <row r="10" customFormat="false" ht="18" hidden="false" customHeight="true" outlineLevel="0" collapsed="false">
      <c r="B10" s="48"/>
      <c r="C10" s="48"/>
      <c r="D10" s="46"/>
      <c r="E10" s="46"/>
      <c r="F10" s="48"/>
      <c r="G10" s="48"/>
      <c r="H10" s="47"/>
      <c r="I10" s="47"/>
      <c r="J10" s="16" t="str">
        <f aca="false">IF(H10="","",IF(H10&gt;$H$5,"🔴 Over Limit",IF(H10&gt;$H$5*0.9,"🟡 Warning","✅ OK")))</f>
        <v/>
      </c>
      <c r="K10" s="16" t="str">
        <f aca="false">IF(I10="","",IF(I10&gt;$I$5,"🔴 Over Limit",IF(I10&gt;$I$5*0.9,"🟡 Warning","✅ OK")))</f>
        <v/>
      </c>
      <c r="L10" s="48"/>
    </row>
    <row r="11" customFormat="false" ht="18" hidden="false" customHeight="true" outlineLevel="0" collapsed="false">
      <c r="B11" s="49"/>
      <c r="C11" s="49"/>
      <c r="D11" s="46"/>
      <c r="E11" s="46"/>
      <c r="F11" s="49"/>
      <c r="G11" s="49"/>
      <c r="H11" s="47"/>
      <c r="I11" s="47"/>
      <c r="J11" s="10" t="str">
        <f aca="false">IF(H11="","",IF(H11&gt;$H$5,"🔴 Over Limit",IF(H11&gt;$H$5*0.9,"🟡 Warning","✅ OK")))</f>
        <v/>
      </c>
      <c r="K11" s="10" t="str">
        <f aca="false">IF(I11="","",IF(I11&gt;$I$5,"🔴 Over Limit",IF(I11&gt;$I$5*0.9,"🟡 Warning","✅ OK")))</f>
        <v/>
      </c>
      <c r="L11" s="49"/>
    </row>
    <row r="12" customFormat="false" ht="18" hidden="false" customHeight="true" outlineLevel="0" collapsed="false">
      <c r="B12" s="48"/>
      <c r="C12" s="48"/>
      <c r="D12" s="46"/>
      <c r="E12" s="46"/>
      <c r="F12" s="48"/>
      <c r="G12" s="48"/>
      <c r="H12" s="47"/>
      <c r="I12" s="47"/>
      <c r="J12" s="16" t="str">
        <f aca="false">IF(H12="","",IF(H12&gt;$H$5,"🔴 Over Limit",IF(H12&gt;$H$5*0.9,"🟡 Warning","✅ OK")))</f>
        <v/>
      </c>
      <c r="K12" s="16" t="str">
        <f aca="false">IF(I12="","",IF(I12&gt;$I$5,"🔴 Over Limit",IF(I12&gt;$I$5*0.9,"🟡 Warning","✅ OK")))</f>
        <v/>
      </c>
      <c r="L12" s="48"/>
    </row>
    <row r="13" customFormat="false" ht="18" hidden="false" customHeight="true" outlineLevel="0" collapsed="false">
      <c r="B13" s="49"/>
      <c r="C13" s="49"/>
      <c r="D13" s="46"/>
      <c r="E13" s="46"/>
      <c r="F13" s="49"/>
      <c r="G13" s="49"/>
      <c r="H13" s="47"/>
      <c r="I13" s="47"/>
      <c r="J13" s="10" t="str">
        <f aca="false">IF(H13="","",IF(H13&gt;$H$5,"🔴 Over Limit",IF(H13&gt;$H$5*0.9,"🟡 Warning","✅ OK")))</f>
        <v/>
      </c>
      <c r="K13" s="10" t="str">
        <f aca="false">IF(I13="","",IF(I13&gt;$I$5,"🔴 Over Limit",IF(I13&gt;$I$5*0.9,"🟡 Warning","✅ OK")))</f>
        <v/>
      </c>
      <c r="L13" s="49"/>
    </row>
    <row r="14" customFormat="false" ht="18" hidden="false" customHeight="true" outlineLevel="0" collapsed="false">
      <c r="B14" s="48"/>
      <c r="C14" s="48"/>
      <c r="D14" s="46"/>
      <c r="E14" s="46"/>
      <c r="F14" s="48"/>
      <c r="G14" s="48"/>
      <c r="H14" s="47"/>
      <c r="I14" s="47"/>
      <c r="J14" s="16" t="str">
        <f aca="false">IF(H14="","",IF(H14&gt;$H$5,"🔴 Over Limit",IF(H14&gt;$H$5*0.9,"🟡 Warning","✅ OK")))</f>
        <v/>
      </c>
      <c r="K14" s="16" t="str">
        <f aca="false">IF(I14="","",IF(I14&gt;$I$5,"🔴 Over Limit",IF(I14&gt;$I$5*0.9,"🟡 Warning","✅ OK")))</f>
        <v/>
      </c>
      <c r="L14" s="48"/>
    </row>
    <row r="15" customFormat="false" ht="18" hidden="false" customHeight="true" outlineLevel="0" collapsed="false">
      <c r="B15" s="49"/>
      <c r="C15" s="49"/>
      <c r="D15" s="46"/>
      <c r="E15" s="46"/>
      <c r="F15" s="49"/>
      <c r="G15" s="49"/>
      <c r="H15" s="47"/>
      <c r="I15" s="47"/>
      <c r="J15" s="10" t="str">
        <f aca="false">IF(H15="","",IF(H15&gt;$H$5,"🔴 Over Limit",IF(H15&gt;$H$5*0.9,"🟡 Warning","✅ OK")))</f>
        <v/>
      </c>
      <c r="K15" s="10" t="str">
        <f aca="false">IF(I15="","",IF(I15&gt;$I$5,"🔴 Over Limit",IF(I15&gt;$I$5*0.9,"🟡 Warning","✅ OK")))</f>
        <v/>
      </c>
      <c r="L15" s="49"/>
    </row>
    <row r="16" customFormat="false" ht="18" hidden="false" customHeight="true" outlineLevel="0" collapsed="false">
      <c r="B16" s="48"/>
      <c r="C16" s="48"/>
      <c r="D16" s="46"/>
      <c r="E16" s="46"/>
      <c r="F16" s="48"/>
      <c r="G16" s="48"/>
      <c r="H16" s="47"/>
      <c r="I16" s="47"/>
      <c r="J16" s="16" t="str">
        <f aca="false">IF(H16="","",IF(H16&gt;$H$5,"🔴 Over Limit",IF(H16&gt;$H$5*0.9,"🟡 Warning","✅ OK")))</f>
        <v/>
      </c>
      <c r="K16" s="16" t="str">
        <f aca="false">IF(I16="","",IF(I16&gt;$I$5,"🔴 Over Limit",IF(I16&gt;$I$5*0.9,"🟡 Warning","✅ OK")))</f>
        <v/>
      </c>
      <c r="L16" s="48"/>
    </row>
    <row r="17" customFormat="false" ht="18" hidden="false" customHeight="true" outlineLevel="0" collapsed="false">
      <c r="B17" s="49"/>
      <c r="C17" s="49"/>
      <c r="D17" s="46"/>
      <c r="E17" s="46"/>
      <c r="F17" s="49"/>
      <c r="G17" s="49"/>
      <c r="H17" s="47"/>
      <c r="I17" s="47"/>
      <c r="J17" s="10" t="str">
        <f aca="false">IF(H17="","",IF(H17&gt;$H$5,"🔴 Over Limit",IF(H17&gt;$H$5*0.9,"🟡 Warning","✅ OK")))</f>
        <v/>
      </c>
      <c r="K17" s="10" t="str">
        <f aca="false">IF(I17="","",IF(I17&gt;$I$5,"🔴 Over Limit",IF(I17&gt;$I$5*0.9,"🟡 Warning","✅ OK")))</f>
        <v/>
      </c>
      <c r="L17" s="49"/>
    </row>
    <row r="18" customFormat="false" ht="18" hidden="false" customHeight="true" outlineLevel="0" collapsed="false">
      <c r="B18" s="48"/>
      <c r="C18" s="48"/>
      <c r="D18" s="46"/>
      <c r="E18" s="46"/>
      <c r="F18" s="48"/>
      <c r="G18" s="48"/>
      <c r="H18" s="47"/>
      <c r="I18" s="47"/>
      <c r="J18" s="16" t="str">
        <f aca="false">IF(H18="","",IF(H18&gt;$H$5,"🔴 Over Limit",IF(H18&gt;$H$5*0.9,"🟡 Warning","✅ OK")))</f>
        <v/>
      </c>
      <c r="K18" s="16" t="str">
        <f aca="false">IF(I18="","",IF(I18&gt;$I$5,"🔴 Over Limit",IF(I18&gt;$I$5*0.9,"🟡 Warning","✅ OK")))</f>
        <v/>
      </c>
      <c r="L18" s="48"/>
    </row>
    <row r="19" customFormat="false" ht="18" hidden="false" customHeight="true" outlineLevel="0" collapsed="false">
      <c r="B19" s="49"/>
      <c r="C19" s="49"/>
      <c r="D19" s="46"/>
      <c r="E19" s="46"/>
      <c r="F19" s="49"/>
      <c r="G19" s="49"/>
      <c r="H19" s="47"/>
      <c r="I19" s="47"/>
      <c r="J19" s="10" t="str">
        <f aca="false">IF(H19="","",IF(H19&gt;$H$5,"🔴 Over Limit",IF(H19&gt;$H$5*0.9,"🟡 Warning","✅ OK")))</f>
        <v/>
      </c>
      <c r="K19" s="10" t="str">
        <f aca="false">IF(I19="","",IF(I19&gt;$I$5,"🔴 Over Limit",IF(I19&gt;$I$5*0.9,"🟡 Warning","✅ OK")))</f>
        <v/>
      </c>
      <c r="L19" s="49"/>
    </row>
    <row r="20" customFormat="false" ht="18" hidden="false" customHeight="true" outlineLevel="0" collapsed="false">
      <c r="B20" s="48"/>
      <c r="C20" s="48"/>
      <c r="D20" s="46"/>
      <c r="E20" s="46"/>
      <c r="F20" s="48"/>
      <c r="G20" s="48"/>
      <c r="H20" s="47"/>
      <c r="I20" s="47"/>
      <c r="J20" s="16" t="str">
        <f aca="false">IF(H20="","",IF(H20&gt;$H$5,"🔴 Over Limit",IF(H20&gt;$H$5*0.9,"🟡 Warning","✅ OK")))</f>
        <v/>
      </c>
      <c r="K20" s="16" t="str">
        <f aca="false">IF(I20="","",IF(I20&gt;$I$5,"🔴 Over Limit",IF(I20&gt;$I$5*0.9,"🟡 Warning","✅ OK")))</f>
        <v/>
      </c>
      <c r="L20" s="48"/>
    </row>
    <row r="21" customFormat="false" ht="18" hidden="false" customHeight="true" outlineLevel="0" collapsed="false">
      <c r="B21" s="49"/>
      <c r="C21" s="49"/>
      <c r="D21" s="46"/>
      <c r="E21" s="46"/>
      <c r="F21" s="49"/>
      <c r="G21" s="49"/>
      <c r="H21" s="47"/>
      <c r="I21" s="47"/>
      <c r="J21" s="10" t="str">
        <f aca="false">IF(H21="","",IF(H21&gt;$H$5,"🔴 Over Limit",IF(H21&gt;$H$5*0.9,"🟡 Warning","✅ OK")))</f>
        <v/>
      </c>
      <c r="K21" s="10" t="str">
        <f aca="false">IF(I21="","",IF(I21&gt;$I$5,"🔴 Over Limit",IF(I21&gt;$I$5*0.9,"🟡 Warning","✅ OK")))</f>
        <v/>
      </c>
      <c r="L21" s="49"/>
    </row>
    <row r="22" customFormat="false" ht="18" hidden="false" customHeight="true" outlineLevel="0" collapsed="false">
      <c r="B22" s="48"/>
      <c r="C22" s="48"/>
      <c r="D22" s="46"/>
      <c r="E22" s="46"/>
      <c r="F22" s="48"/>
      <c r="G22" s="48"/>
      <c r="H22" s="47"/>
      <c r="I22" s="47"/>
      <c r="J22" s="16" t="str">
        <f aca="false">IF(H22="","",IF(H22&gt;$H$5,"🔴 Over Limit",IF(H22&gt;$H$5*0.9,"🟡 Warning","✅ OK")))</f>
        <v/>
      </c>
      <c r="K22" s="16" t="str">
        <f aca="false">IF(I22="","",IF(I22&gt;$I$5,"🔴 Over Limit",IF(I22&gt;$I$5*0.9,"🟡 Warning","✅ OK")))</f>
        <v/>
      </c>
      <c r="L22" s="48"/>
    </row>
    <row r="23" customFormat="false" ht="18" hidden="false" customHeight="true" outlineLevel="0" collapsed="false">
      <c r="B23" s="49"/>
      <c r="C23" s="49"/>
      <c r="D23" s="46"/>
      <c r="E23" s="46"/>
      <c r="F23" s="49"/>
      <c r="G23" s="49"/>
      <c r="H23" s="47"/>
      <c r="I23" s="47"/>
      <c r="J23" s="10" t="str">
        <f aca="false">IF(H23="","",IF(H23&gt;$H$5,"🔴 Over Limit",IF(H23&gt;$H$5*0.9,"🟡 Warning","✅ OK")))</f>
        <v/>
      </c>
      <c r="K23" s="10" t="str">
        <f aca="false">IF(I23="","",IF(I23&gt;$I$5,"🔴 Over Limit",IF(I23&gt;$I$5*0.9,"🟡 Warning","✅ OK")))</f>
        <v/>
      </c>
      <c r="L23" s="49"/>
    </row>
    <row r="24" customFormat="false" ht="18" hidden="false" customHeight="true" outlineLevel="0" collapsed="false">
      <c r="B24" s="48"/>
      <c r="C24" s="48"/>
      <c r="D24" s="46"/>
      <c r="E24" s="46"/>
      <c r="F24" s="48"/>
      <c r="G24" s="48"/>
      <c r="H24" s="47"/>
      <c r="I24" s="47"/>
      <c r="J24" s="16" t="str">
        <f aca="false">IF(H24="","",IF(H24&gt;$H$5,"🔴 Over Limit",IF(H24&gt;$H$5*0.9,"🟡 Warning","✅ OK")))</f>
        <v/>
      </c>
      <c r="K24" s="16" t="str">
        <f aca="false">IF(I24="","",IF(I24&gt;$I$5,"🔴 Over Limit",IF(I24&gt;$I$5*0.9,"🟡 Warning","✅ OK")))</f>
        <v/>
      </c>
      <c r="L24" s="48"/>
    </row>
    <row r="25" customFormat="false" ht="18" hidden="false" customHeight="true" outlineLevel="0" collapsed="false">
      <c r="B25" s="49"/>
      <c r="C25" s="49"/>
      <c r="D25" s="46"/>
      <c r="E25" s="46"/>
      <c r="F25" s="49"/>
      <c r="G25" s="49"/>
      <c r="H25" s="47"/>
      <c r="I25" s="47"/>
      <c r="J25" s="10" t="str">
        <f aca="false">IF(H25="","",IF(H25&gt;$H$5,"🔴 Over Limit",IF(H25&gt;$H$5*0.9,"🟡 Warning","✅ OK")))</f>
        <v/>
      </c>
      <c r="K25" s="10" t="str">
        <f aca="false">IF(I25="","",IF(I25&gt;$I$5,"🔴 Over Limit",IF(I25&gt;$I$5*0.9,"🟡 Warning","✅ OK")))</f>
        <v/>
      </c>
      <c r="L25" s="49"/>
    </row>
    <row r="26" customFormat="false" ht="18" hidden="false" customHeight="true" outlineLevel="0" collapsed="false">
      <c r="B26" s="48"/>
      <c r="C26" s="48"/>
      <c r="D26" s="46"/>
      <c r="E26" s="46"/>
      <c r="F26" s="48"/>
      <c r="G26" s="48"/>
      <c r="H26" s="47"/>
      <c r="I26" s="47"/>
      <c r="J26" s="16" t="str">
        <f aca="false">IF(H26="","",IF(H26&gt;$H$5,"🔴 Over Limit",IF(H26&gt;$H$5*0.9,"🟡 Warning","✅ OK")))</f>
        <v/>
      </c>
      <c r="K26" s="16" t="str">
        <f aca="false">IF(I26="","",IF(I26&gt;$I$5,"🔴 Over Limit",IF(I26&gt;$I$5*0.9,"🟡 Warning","✅ OK")))</f>
        <v/>
      </c>
      <c r="L26" s="48"/>
    </row>
    <row r="27" customFormat="false" ht="18" hidden="false" customHeight="true" outlineLevel="0" collapsed="false">
      <c r="B27" s="49"/>
      <c r="C27" s="49"/>
      <c r="D27" s="46"/>
      <c r="E27" s="46"/>
      <c r="F27" s="49"/>
      <c r="G27" s="49"/>
      <c r="H27" s="47"/>
      <c r="I27" s="47"/>
      <c r="J27" s="10" t="str">
        <f aca="false">IF(H27="","",IF(H27&gt;$H$5,"🔴 Over Limit",IF(H27&gt;$H$5*0.9,"🟡 Warning","✅ OK")))</f>
        <v/>
      </c>
      <c r="K27" s="10" t="str">
        <f aca="false">IF(I27="","",IF(I27&gt;$I$5,"🔴 Over Limit",IF(I27&gt;$I$5*0.9,"🟡 Warning","✅ OK")))</f>
        <v/>
      </c>
      <c r="L27" s="49"/>
    </row>
    <row r="28" customFormat="false" ht="18" hidden="false" customHeight="true" outlineLevel="0" collapsed="false">
      <c r="B28" s="48"/>
      <c r="C28" s="48"/>
      <c r="D28" s="46"/>
      <c r="E28" s="46"/>
      <c r="F28" s="48"/>
      <c r="G28" s="48"/>
      <c r="H28" s="47"/>
      <c r="I28" s="47"/>
      <c r="J28" s="16" t="str">
        <f aca="false">IF(H28="","",IF(H28&gt;$H$5,"🔴 Over Limit",IF(H28&gt;$H$5*0.9,"🟡 Warning","✅ OK")))</f>
        <v/>
      </c>
      <c r="K28" s="16" t="str">
        <f aca="false">IF(I28="","",IF(I28&gt;$I$5,"🔴 Over Limit",IF(I28&gt;$I$5*0.9,"🟡 Warning","✅ OK")))</f>
        <v/>
      </c>
      <c r="L28" s="48"/>
    </row>
    <row r="29" customFormat="false" ht="18" hidden="false" customHeight="true" outlineLevel="0" collapsed="false">
      <c r="B29" s="49"/>
      <c r="C29" s="49"/>
      <c r="D29" s="46"/>
      <c r="E29" s="46"/>
      <c r="F29" s="49"/>
      <c r="G29" s="49"/>
      <c r="H29" s="47"/>
      <c r="I29" s="47"/>
      <c r="J29" s="10" t="str">
        <f aca="false">IF(H29="","",IF(H29&gt;$H$5,"🔴 Over Limit",IF(H29&gt;$H$5*0.9,"🟡 Warning","✅ OK")))</f>
        <v/>
      </c>
      <c r="K29" s="10" t="str">
        <f aca="false">IF(I29="","",IF(I29&gt;$I$5,"🔴 Over Limit",IF(I29&gt;$I$5*0.9,"🟡 Warning","✅ OK")))</f>
        <v/>
      </c>
      <c r="L29" s="49"/>
    </row>
    <row r="30" customFormat="false" ht="18" hidden="false" customHeight="true" outlineLevel="0" collapsed="false">
      <c r="B30" s="48"/>
      <c r="C30" s="48"/>
      <c r="D30" s="46"/>
      <c r="E30" s="46"/>
      <c r="F30" s="48"/>
      <c r="G30" s="48"/>
      <c r="H30" s="47"/>
      <c r="I30" s="47"/>
      <c r="J30" s="16" t="str">
        <f aca="false">IF(H30="","",IF(H30&gt;$H$5,"🔴 Over Limit",IF(H30&gt;$H$5*0.9,"🟡 Warning","✅ OK")))</f>
        <v/>
      </c>
      <c r="K30" s="16" t="str">
        <f aca="false">IF(I30="","",IF(I30&gt;$I$5,"🔴 Over Limit",IF(I30&gt;$I$5*0.9,"🟡 Warning","✅ OK")))</f>
        <v/>
      </c>
      <c r="L30" s="48"/>
    </row>
    <row r="31" customFormat="false" ht="18" hidden="false" customHeight="true" outlineLevel="0" collapsed="false">
      <c r="B31" s="49"/>
      <c r="C31" s="49"/>
      <c r="D31" s="46"/>
      <c r="E31" s="46"/>
      <c r="F31" s="49"/>
      <c r="G31" s="49"/>
      <c r="H31" s="47"/>
      <c r="I31" s="47"/>
      <c r="J31" s="10" t="str">
        <f aca="false">IF(H31="","",IF(H31&gt;$H$5,"🔴 Over Limit",IF(H31&gt;$H$5*0.9,"🟡 Warning","✅ OK")))</f>
        <v/>
      </c>
      <c r="K31" s="10" t="str">
        <f aca="false">IF(I31="","",IF(I31&gt;$I$5,"🔴 Over Limit",IF(I31&gt;$I$5*0.9,"🟡 Warning","✅ OK")))</f>
        <v/>
      </c>
      <c r="L31" s="49"/>
    </row>
    <row r="32" customFormat="false" ht="18" hidden="false" customHeight="true" outlineLevel="0" collapsed="false">
      <c r="B32" s="48"/>
      <c r="C32" s="48"/>
      <c r="D32" s="46"/>
      <c r="E32" s="46"/>
      <c r="F32" s="48"/>
      <c r="G32" s="48"/>
      <c r="H32" s="47"/>
      <c r="I32" s="47"/>
      <c r="J32" s="16" t="str">
        <f aca="false">IF(H32="","",IF(H32&gt;$H$5,"🔴 Over Limit",IF(H32&gt;$H$5*0.9,"🟡 Warning","✅ OK")))</f>
        <v/>
      </c>
      <c r="K32" s="16" t="str">
        <f aca="false">IF(I32="","",IF(I32&gt;$I$5,"🔴 Over Limit",IF(I32&gt;$I$5*0.9,"🟡 Warning","✅ OK")))</f>
        <v/>
      </c>
      <c r="L32" s="48"/>
    </row>
    <row r="33" customFormat="false" ht="18" hidden="false" customHeight="true" outlineLevel="0" collapsed="false">
      <c r="B33" s="49"/>
      <c r="C33" s="49"/>
      <c r="D33" s="46"/>
      <c r="E33" s="46"/>
      <c r="F33" s="49"/>
      <c r="G33" s="49"/>
      <c r="H33" s="47"/>
      <c r="I33" s="47"/>
      <c r="J33" s="10" t="str">
        <f aca="false">IF(H33="","",IF(H33&gt;$H$5,"🔴 Over Limit",IF(H33&gt;$H$5*0.9,"🟡 Warning","✅ OK")))</f>
        <v/>
      </c>
      <c r="K33" s="10" t="str">
        <f aca="false">IF(I33="","",IF(I33&gt;$I$5,"🔴 Over Limit",IF(I33&gt;$I$5*0.9,"🟡 Warning","✅ OK")))</f>
        <v/>
      </c>
      <c r="L33" s="49"/>
    </row>
    <row r="34" customFormat="false" ht="18" hidden="false" customHeight="true" outlineLevel="0" collapsed="false">
      <c r="B34" s="48"/>
      <c r="C34" s="48"/>
      <c r="D34" s="46"/>
      <c r="E34" s="46"/>
      <c r="F34" s="48"/>
      <c r="G34" s="48"/>
      <c r="H34" s="47"/>
      <c r="I34" s="47"/>
      <c r="J34" s="16" t="str">
        <f aca="false">IF(H34="","",IF(H34&gt;$H$5,"🔴 Over Limit",IF(H34&gt;$H$5*0.9,"🟡 Warning","✅ OK")))</f>
        <v/>
      </c>
      <c r="K34" s="16" t="str">
        <f aca="false">IF(I34="","",IF(I34&gt;$I$5,"🔴 Over Limit",IF(I34&gt;$I$5*0.9,"🟡 Warning","✅ OK")))</f>
        <v/>
      </c>
      <c r="L34" s="48"/>
    </row>
    <row r="35" customFormat="false" ht="18" hidden="false" customHeight="true" outlineLevel="0" collapsed="false">
      <c r="B35" s="49"/>
      <c r="C35" s="49"/>
      <c r="D35" s="46"/>
      <c r="E35" s="46"/>
      <c r="F35" s="49"/>
      <c r="G35" s="49"/>
      <c r="H35" s="47"/>
      <c r="I35" s="47"/>
      <c r="J35" s="10" t="str">
        <f aca="false">IF(H35="","",IF(H35&gt;$H$5,"🔴 Over Limit",IF(H35&gt;$H$5*0.9,"🟡 Warning","✅ OK")))</f>
        <v/>
      </c>
      <c r="K35" s="10" t="str">
        <f aca="false">IF(I35="","",IF(I35&gt;$I$5,"🔴 Over Limit",IF(I35&gt;$I$5*0.9,"🟡 Warning","✅ OK")))</f>
        <v/>
      </c>
      <c r="L35" s="49"/>
    </row>
    <row r="36" customFormat="false" ht="18" hidden="false" customHeight="true" outlineLevel="0" collapsed="false">
      <c r="B36" s="48"/>
      <c r="C36" s="48"/>
      <c r="D36" s="46"/>
      <c r="E36" s="46"/>
      <c r="F36" s="48"/>
      <c r="G36" s="48"/>
      <c r="H36" s="47"/>
      <c r="I36" s="47"/>
      <c r="J36" s="16" t="str">
        <f aca="false">IF(H36="","",IF(H36&gt;$H$5,"🔴 Over Limit",IF(H36&gt;$H$5*0.9,"🟡 Warning","✅ OK")))</f>
        <v/>
      </c>
      <c r="K36" s="16" t="str">
        <f aca="false">IF(I36="","",IF(I36&gt;$I$5,"🔴 Over Limit",IF(I36&gt;$I$5*0.9,"🟡 Warning","✅ OK")))</f>
        <v/>
      </c>
      <c r="L36" s="48"/>
    </row>
    <row r="37" customFormat="false" ht="18" hidden="false" customHeight="true" outlineLevel="0" collapsed="false">
      <c r="B37" s="49"/>
      <c r="C37" s="49"/>
      <c r="D37" s="46"/>
      <c r="E37" s="46"/>
      <c r="F37" s="49"/>
      <c r="G37" s="49"/>
      <c r="H37" s="47"/>
      <c r="I37" s="47"/>
      <c r="J37" s="10" t="str">
        <f aca="false">IF(H37="","",IF(H37&gt;$H$5,"🔴 Over Limit",IF(H37&gt;$H$5*0.9,"🟡 Warning","✅ OK")))</f>
        <v/>
      </c>
      <c r="K37" s="10" t="str">
        <f aca="false">IF(I37="","",IF(I37&gt;$I$5,"🔴 Over Limit",IF(I37&gt;$I$5*0.9,"🟡 Warning","✅ OK")))</f>
        <v/>
      </c>
      <c r="L37" s="49"/>
    </row>
    <row r="38" customFormat="false" ht="18" hidden="false" customHeight="true" outlineLevel="0" collapsed="false">
      <c r="B38" s="48"/>
      <c r="C38" s="48"/>
      <c r="D38" s="46"/>
      <c r="E38" s="46"/>
      <c r="F38" s="48"/>
      <c r="G38" s="48"/>
      <c r="H38" s="47"/>
      <c r="I38" s="47"/>
      <c r="J38" s="16" t="str">
        <f aca="false">IF(H38="","",IF(H38&gt;$H$5,"🔴 Over Limit",IF(H38&gt;$H$5*0.9,"🟡 Warning","✅ OK")))</f>
        <v/>
      </c>
      <c r="K38" s="16" t="str">
        <f aca="false">IF(I38="","",IF(I38&gt;$I$5,"🔴 Over Limit",IF(I38&gt;$I$5*0.9,"🟡 Warning","✅ OK")))</f>
        <v/>
      </c>
      <c r="L38" s="48"/>
    </row>
    <row r="39" customFormat="false" ht="18" hidden="false" customHeight="true" outlineLevel="0" collapsed="false">
      <c r="B39" s="49"/>
      <c r="C39" s="49"/>
      <c r="D39" s="46"/>
      <c r="E39" s="46"/>
      <c r="F39" s="49"/>
      <c r="G39" s="49"/>
      <c r="H39" s="47"/>
      <c r="I39" s="47"/>
      <c r="J39" s="10" t="str">
        <f aca="false">IF(H39="","",IF(H39&gt;$H$5,"🔴 Over Limit",IF(H39&gt;$H$5*0.9,"🟡 Warning","✅ OK")))</f>
        <v/>
      </c>
      <c r="K39" s="10" t="str">
        <f aca="false">IF(I39="","",IF(I39&gt;$I$5,"🔴 Over Limit",IF(I39&gt;$I$5*0.9,"🟡 Warning","✅ OK")))</f>
        <v/>
      </c>
      <c r="L39" s="49"/>
    </row>
    <row r="40" customFormat="false" ht="18" hidden="false" customHeight="true" outlineLevel="0" collapsed="false">
      <c r="B40" s="48"/>
      <c r="C40" s="48"/>
      <c r="D40" s="46"/>
      <c r="E40" s="46"/>
      <c r="F40" s="48"/>
      <c r="G40" s="48"/>
      <c r="H40" s="47"/>
      <c r="I40" s="47"/>
      <c r="J40" s="16" t="str">
        <f aca="false">IF(H40="","",IF(H40&gt;$H$5,"🔴 Over Limit",IF(H40&gt;$H$5*0.9,"🟡 Warning","✅ OK")))</f>
        <v/>
      </c>
      <c r="K40" s="16" t="str">
        <f aca="false">IF(I40="","",IF(I40&gt;$I$5,"🔴 Over Limit",IF(I40&gt;$I$5*0.9,"🟡 Warning","✅ OK")))</f>
        <v/>
      </c>
      <c r="L40" s="48"/>
    </row>
    <row r="41" customFormat="false" ht="18" hidden="false" customHeight="true" outlineLevel="0" collapsed="false">
      <c r="B41" s="49"/>
      <c r="C41" s="49"/>
      <c r="D41" s="46"/>
      <c r="E41" s="46"/>
      <c r="F41" s="49"/>
      <c r="G41" s="49"/>
      <c r="H41" s="47"/>
      <c r="I41" s="47"/>
      <c r="J41" s="10" t="str">
        <f aca="false">IF(H41="","",IF(H41&gt;$H$5,"🔴 Over Limit",IF(H41&gt;$H$5*0.9,"🟡 Warning","✅ OK")))</f>
        <v/>
      </c>
      <c r="K41" s="10" t="str">
        <f aca="false">IF(I41="","",IF(I41&gt;$I$5,"🔴 Over Limit",IF(I41&gt;$I$5*0.9,"🟡 Warning","✅ OK")))</f>
        <v/>
      </c>
      <c r="L41" s="49"/>
    </row>
    <row r="42" customFormat="false" ht="18" hidden="false" customHeight="true" outlineLevel="0" collapsed="false">
      <c r="B42" s="48"/>
      <c r="C42" s="48"/>
      <c r="D42" s="46"/>
      <c r="E42" s="46"/>
      <c r="F42" s="48"/>
      <c r="G42" s="48"/>
      <c r="H42" s="47"/>
      <c r="I42" s="47"/>
      <c r="J42" s="16" t="str">
        <f aca="false">IF(H42="","",IF(H42&gt;$H$5,"🔴 Over Limit",IF(H42&gt;$H$5*0.9,"🟡 Warning","✅ OK")))</f>
        <v/>
      </c>
      <c r="K42" s="16" t="str">
        <f aca="false">IF(I42="","",IF(I42&gt;$I$5,"🔴 Over Limit",IF(I42&gt;$I$5*0.9,"🟡 Warning","✅ OK")))</f>
        <v/>
      </c>
      <c r="L42" s="48"/>
    </row>
    <row r="43" customFormat="false" ht="18" hidden="false" customHeight="true" outlineLevel="0" collapsed="false">
      <c r="B43" s="49"/>
      <c r="C43" s="49"/>
      <c r="D43" s="46"/>
      <c r="E43" s="46"/>
      <c r="F43" s="49"/>
      <c r="G43" s="49"/>
      <c r="H43" s="47"/>
      <c r="I43" s="47"/>
      <c r="J43" s="10" t="str">
        <f aca="false">IF(H43="","",IF(H43&gt;$H$5,"🔴 Over Limit",IF(H43&gt;$H$5*0.9,"🟡 Warning","✅ OK")))</f>
        <v/>
      </c>
      <c r="K43" s="10" t="str">
        <f aca="false">IF(I43="","",IF(I43&gt;$I$5,"🔴 Over Limit",IF(I43&gt;$I$5*0.9,"🟡 Warning","✅ OK")))</f>
        <v/>
      </c>
      <c r="L43" s="49"/>
    </row>
    <row r="44" customFormat="false" ht="18" hidden="false" customHeight="true" outlineLevel="0" collapsed="false">
      <c r="B44" s="48"/>
      <c r="C44" s="48"/>
      <c r="D44" s="46"/>
      <c r="E44" s="46"/>
      <c r="F44" s="48"/>
      <c r="G44" s="48"/>
      <c r="H44" s="47"/>
      <c r="I44" s="47"/>
      <c r="J44" s="16" t="str">
        <f aca="false">IF(H44="","",IF(H44&gt;$H$5,"🔴 Over Limit",IF(H44&gt;$H$5*0.9,"🟡 Warning","✅ OK")))</f>
        <v/>
      </c>
      <c r="K44" s="16" t="str">
        <f aca="false">IF(I44="","",IF(I44&gt;$I$5,"🔴 Over Limit",IF(I44&gt;$I$5*0.9,"🟡 Warning","✅ OK")))</f>
        <v/>
      </c>
      <c r="L44" s="48"/>
    </row>
    <row r="45" customFormat="false" ht="18" hidden="false" customHeight="true" outlineLevel="0" collapsed="false">
      <c r="B45" s="49"/>
      <c r="C45" s="49"/>
      <c r="D45" s="46"/>
      <c r="E45" s="46"/>
      <c r="F45" s="49"/>
      <c r="G45" s="49"/>
      <c r="H45" s="47"/>
      <c r="I45" s="47"/>
      <c r="J45" s="10" t="str">
        <f aca="false">IF(H45="","",IF(H45&gt;$H$5,"🔴 Over Limit",IF(H45&gt;$H$5*0.9,"🟡 Warning","✅ OK")))</f>
        <v/>
      </c>
      <c r="K45" s="10" t="str">
        <f aca="false">IF(I45="","",IF(I45&gt;$I$5,"🔴 Over Limit",IF(I45&gt;$I$5*0.9,"🟡 Warning","✅ OK")))</f>
        <v/>
      </c>
      <c r="L45" s="49"/>
    </row>
    <row r="46" customFormat="false" ht="18" hidden="false" customHeight="true" outlineLevel="0" collapsed="false">
      <c r="B46" s="48"/>
      <c r="C46" s="48"/>
      <c r="D46" s="46"/>
      <c r="E46" s="46"/>
      <c r="F46" s="48"/>
      <c r="G46" s="48"/>
      <c r="H46" s="47"/>
      <c r="I46" s="47"/>
      <c r="J46" s="16" t="str">
        <f aca="false">IF(H46="","",IF(H46&gt;$H$5,"🔴 Over Limit",IF(H46&gt;$H$5*0.9,"🟡 Warning","✅ OK")))</f>
        <v/>
      </c>
      <c r="K46" s="16" t="str">
        <f aca="false">IF(I46="","",IF(I46&gt;$I$5,"🔴 Over Limit",IF(I46&gt;$I$5*0.9,"🟡 Warning","✅ OK")))</f>
        <v/>
      </c>
      <c r="L46" s="48"/>
    </row>
    <row r="47" customFormat="false" ht="18" hidden="false" customHeight="true" outlineLevel="0" collapsed="false">
      <c r="B47" s="49"/>
      <c r="C47" s="49"/>
      <c r="D47" s="46"/>
      <c r="E47" s="46"/>
      <c r="F47" s="49"/>
      <c r="G47" s="49"/>
      <c r="H47" s="47"/>
      <c r="I47" s="47"/>
      <c r="J47" s="10" t="str">
        <f aca="false">IF(H47="","",IF(H47&gt;$H$5,"🔴 Over Limit",IF(H47&gt;$H$5*0.9,"🟡 Warning","✅ OK")))</f>
        <v/>
      </c>
      <c r="K47" s="10" t="str">
        <f aca="false">IF(I47="","",IF(I47&gt;$I$5,"🔴 Over Limit",IF(I47&gt;$I$5*0.9,"🟡 Warning","✅ OK")))</f>
        <v/>
      </c>
      <c r="L47" s="49"/>
    </row>
    <row r="48" customFormat="false" ht="18" hidden="false" customHeight="true" outlineLevel="0" collapsed="false">
      <c r="B48" s="48"/>
      <c r="C48" s="48"/>
      <c r="D48" s="46"/>
      <c r="E48" s="46"/>
      <c r="F48" s="48"/>
      <c r="G48" s="48"/>
      <c r="H48" s="47"/>
      <c r="I48" s="47"/>
      <c r="J48" s="16" t="str">
        <f aca="false">IF(H48="","",IF(H48&gt;$H$5,"🔴 Over Limit",IF(H48&gt;$H$5*0.9,"🟡 Warning","✅ OK")))</f>
        <v/>
      </c>
      <c r="K48" s="16" t="str">
        <f aca="false">IF(I48="","",IF(I48&gt;$I$5,"🔴 Over Limit",IF(I48&gt;$I$5*0.9,"🟡 Warning","✅ OK")))</f>
        <v/>
      </c>
      <c r="L48" s="48"/>
    </row>
    <row r="49" customFormat="false" ht="18" hidden="false" customHeight="true" outlineLevel="0" collapsed="false">
      <c r="B49" s="49"/>
      <c r="C49" s="49"/>
      <c r="D49" s="46"/>
      <c r="E49" s="46"/>
      <c r="F49" s="49"/>
      <c r="G49" s="49"/>
      <c r="H49" s="47"/>
      <c r="I49" s="47"/>
      <c r="J49" s="10" t="str">
        <f aca="false">IF(H49="","",IF(H49&gt;$H$5,"🔴 Over Limit",IF(H49&gt;$H$5*0.9,"🟡 Warning","✅ OK")))</f>
        <v/>
      </c>
      <c r="K49" s="10" t="str">
        <f aca="false">IF(I49="","",IF(I49&gt;$I$5,"🔴 Over Limit",IF(I49&gt;$I$5*0.9,"🟡 Warning","✅ OK")))</f>
        <v/>
      </c>
      <c r="L49" s="49"/>
    </row>
    <row r="50" customFormat="false" ht="18" hidden="false" customHeight="true" outlineLevel="0" collapsed="false">
      <c r="B50" s="48"/>
      <c r="C50" s="48"/>
      <c r="D50" s="46"/>
      <c r="E50" s="46"/>
      <c r="F50" s="48"/>
      <c r="G50" s="48"/>
      <c r="H50" s="47"/>
      <c r="I50" s="47"/>
      <c r="J50" s="16" t="str">
        <f aca="false">IF(H50="","",IF(H50&gt;$H$5,"🔴 Over Limit",IF(H50&gt;$H$5*0.9,"🟡 Warning","✅ OK")))</f>
        <v/>
      </c>
      <c r="K50" s="16" t="str">
        <f aca="false">IF(I50="","",IF(I50&gt;$I$5,"🔴 Over Limit",IF(I50&gt;$I$5*0.9,"🟡 Warning","✅ OK")))</f>
        <v/>
      </c>
      <c r="L50" s="48"/>
    </row>
    <row r="51" customFormat="false" ht="18" hidden="false" customHeight="true" outlineLevel="0" collapsed="false">
      <c r="B51" s="49"/>
      <c r="C51" s="49"/>
      <c r="D51" s="46"/>
      <c r="E51" s="46"/>
      <c r="F51" s="49"/>
      <c r="G51" s="49"/>
      <c r="H51" s="47"/>
      <c r="I51" s="47"/>
      <c r="J51" s="10" t="str">
        <f aca="false">IF(H51="","",IF(H51&gt;$H$5,"🔴 Over Limit",IF(H51&gt;$H$5*0.9,"🟡 Warning","✅ OK")))</f>
        <v/>
      </c>
      <c r="K51" s="10" t="str">
        <f aca="false">IF(I51="","",IF(I51&gt;$I$5,"🔴 Over Limit",IF(I51&gt;$I$5*0.9,"🟡 Warning","✅ OK")))</f>
        <v/>
      </c>
      <c r="L51" s="49"/>
    </row>
    <row r="52" customFormat="false" ht="18" hidden="false" customHeight="true" outlineLevel="0" collapsed="false">
      <c r="B52" s="48"/>
      <c r="C52" s="48"/>
      <c r="D52" s="46"/>
      <c r="E52" s="46"/>
      <c r="F52" s="48"/>
      <c r="G52" s="48"/>
      <c r="H52" s="47"/>
      <c r="I52" s="47"/>
      <c r="J52" s="16" t="str">
        <f aca="false">IF(H52="","",IF(H52&gt;$H$5,"🔴 Over Limit",IF(H52&gt;$H$5*0.9,"🟡 Warning","✅ OK")))</f>
        <v/>
      </c>
      <c r="K52" s="16" t="str">
        <f aca="false">IF(I52="","",IF(I52&gt;$I$5,"🔴 Over Limit",IF(I52&gt;$I$5*0.9,"🟡 Warning","✅ OK")))</f>
        <v/>
      </c>
      <c r="L52" s="48"/>
    </row>
    <row r="53" customFormat="false" ht="18" hidden="false" customHeight="true" outlineLevel="0" collapsed="false">
      <c r="B53" s="49"/>
      <c r="C53" s="49"/>
      <c r="D53" s="46"/>
      <c r="E53" s="46"/>
      <c r="F53" s="49"/>
      <c r="G53" s="49"/>
      <c r="H53" s="47"/>
      <c r="I53" s="47"/>
      <c r="J53" s="10" t="str">
        <f aca="false">IF(H53="","",IF(H53&gt;$H$5,"🔴 Over Limit",IF(H53&gt;$H$5*0.9,"🟡 Warning","✅ OK")))</f>
        <v/>
      </c>
      <c r="K53" s="10" t="str">
        <f aca="false">IF(I53="","",IF(I53&gt;$I$5,"🔴 Over Limit",IF(I53&gt;$I$5*0.9,"🟡 Warning","✅ OK")))</f>
        <v/>
      </c>
      <c r="L53" s="49"/>
    </row>
    <row r="54" customFormat="false" ht="18" hidden="false" customHeight="true" outlineLevel="0" collapsed="false">
      <c r="B54" s="48"/>
      <c r="C54" s="48"/>
      <c r="D54" s="46"/>
      <c r="E54" s="46"/>
      <c r="F54" s="48"/>
      <c r="G54" s="48"/>
      <c r="H54" s="47"/>
      <c r="I54" s="47"/>
      <c r="J54" s="16" t="str">
        <f aca="false">IF(H54="","",IF(H54&gt;$H$5,"🔴 Over Limit",IF(H54&gt;$H$5*0.9,"🟡 Warning","✅ OK")))</f>
        <v/>
      </c>
      <c r="K54" s="16" t="str">
        <f aca="false">IF(I54="","",IF(I54&gt;$I$5,"🔴 Over Limit",IF(I54&gt;$I$5*0.9,"🟡 Warning","✅ OK")))</f>
        <v/>
      </c>
      <c r="L54" s="48"/>
    </row>
    <row r="55" customFormat="false" ht="18" hidden="false" customHeight="true" outlineLevel="0" collapsed="false">
      <c r="B55" s="49"/>
      <c r="C55" s="49"/>
      <c r="D55" s="46"/>
      <c r="E55" s="46"/>
      <c r="F55" s="49"/>
      <c r="G55" s="49"/>
      <c r="H55" s="47"/>
      <c r="I55" s="47"/>
      <c r="J55" s="10" t="str">
        <f aca="false">IF(H55="","",IF(H55&gt;$H$5,"🔴 Over Limit",IF(H55&gt;$H$5*0.9,"🟡 Warning","✅ OK")))</f>
        <v/>
      </c>
      <c r="K55" s="10" t="str">
        <f aca="false">IF(I55="","",IF(I55&gt;$I$5,"🔴 Over Limit",IF(I55&gt;$I$5*0.9,"🟡 Warning","✅ OK")))</f>
        <v/>
      </c>
      <c r="L55" s="49"/>
    </row>
    <row r="56" customFormat="false" ht="18" hidden="false" customHeight="true" outlineLevel="0" collapsed="false">
      <c r="B56" s="48"/>
      <c r="C56" s="48"/>
      <c r="D56" s="46"/>
      <c r="E56" s="46"/>
      <c r="F56" s="48"/>
      <c r="G56" s="48"/>
      <c r="H56" s="47"/>
      <c r="I56" s="47"/>
      <c r="J56" s="16" t="str">
        <f aca="false">IF(H56="","",IF(H56&gt;$H$5,"🔴 Over Limit",IF(H56&gt;$H$5*0.9,"🟡 Warning","✅ OK")))</f>
        <v/>
      </c>
      <c r="K56" s="16" t="str">
        <f aca="false">IF(I56="","",IF(I56&gt;$I$5,"🔴 Over Limit",IF(I56&gt;$I$5*0.9,"🟡 Warning","✅ OK")))</f>
        <v/>
      </c>
      <c r="L56" s="48"/>
    </row>
  </sheetData>
  <mergeCells count="4">
    <mergeCell ref="B1:L1"/>
    <mergeCell ref="B2:L2"/>
    <mergeCell ref="B3:L3"/>
    <mergeCell ref="B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3"/>
    <col collapsed="false" customWidth="true" hidden="false" outlineLevel="0" max="9" min="8" style="0" width="15"/>
    <col collapsed="false" customWidth="true" hidden="false" outlineLevel="0" max="10" min="10" style="0" width="14"/>
    <col collapsed="false" customWidth="true" hidden="false" outlineLevel="0" max="11" min="11" style="0" width="18"/>
  </cols>
  <sheetData>
    <row r="1" customFormat="false" ht="31.5" hidden="false" customHeight="true" outlineLevel="0" collapsed="false">
      <c r="B1" s="39" t="s">
        <v>192</v>
      </c>
      <c r="C1" s="39"/>
      <c r="D1" s="39"/>
      <c r="E1" s="39"/>
      <c r="F1" s="39"/>
      <c r="G1" s="39"/>
      <c r="H1" s="39"/>
      <c r="I1" s="39"/>
      <c r="J1" s="39"/>
      <c r="K1" s="39"/>
    </row>
    <row r="2" customFormat="false" ht="15" hidden="false" customHeight="true" outlineLevel="0" collapsed="false">
      <c r="B2" s="40" t="s">
        <v>101</v>
      </c>
      <c r="C2" s="40"/>
      <c r="D2" s="40"/>
      <c r="E2" s="40"/>
      <c r="F2" s="40"/>
      <c r="G2" s="40"/>
      <c r="H2" s="40"/>
      <c r="I2" s="40"/>
      <c r="J2" s="40"/>
      <c r="K2" s="40"/>
    </row>
    <row r="3" customFormat="false" ht="21.75" hidden="false" customHeight="true" outlineLevel="0" collapsed="false">
      <c r="B3" s="69" t="s">
        <v>193</v>
      </c>
      <c r="C3" s="69"/>
      <c r="D3" s="69"/>
      <c r="E3" s="69"/>
      <c r="F3" s="69"/>
      <c r="G3" s="69"/>
      <c r="H3" s="69"/>
      <c r="I3" s="69"/>
      <c r="J3" s="69"/>
      <c r="K3" s="69"/>
    </row>
    <row r="4" customFormat="false" ht="19.5" hidden="false" customHeight="true" outlineLevel="0" collapsed="false">
      <c r="B4" s="41" t="s">
        <v>77</v>
      </c>
      <c r="C4" s="20" t="n">
        <f aca="false">SUM(E7:E56)</f>
        <v>37500</v>
      </c>
      <c r="D4" s="20" t="n">
        <f aca="false">SUM(F7:F56)</f>
        <v>400</v>
      </c>
      <c r="E4" s="22" t="n">
        <f aca="false">IFERROR(D4/(C4+D4),0)</f>
        <v>0.0105540897097625</v>
      </c>
      <c r="F4" s="21" t="n">
        <f aca="false">IFERROR(AVERAGEIF(J7:J56,"&gt;0"),0)</f>
        <v>0.72</v>
      </c>
      <c r="G4" s="42" t="n">
        <f aca="false">COUNTIF(F7:F56,"&gt;0")</f>
        <v>1</v>
      </c>
      <c r="H4" s="49"/>
      <c r="I4" s="49"/>
      <c r="J4" s="49"/>
      <c r="K4" s="49"/>
    </row>
    <row r="6" customFormat="false" ht="27.75" hidden="false" customHeight="true" outlineLevel="0" collapsed="false">
      <c r="B6" s="70" t="s">
        <v>103</v>
      </c>
      <c r="C6" s="70" t="s">
        <v>104</v>
      </c>
      <c r="D6" s="70" t="s">
        <v>105</v>
      </c>
      <c r="E6" s="70" t="s">
        <v>106</v>
      </c>
      <c r="F6" s="70" t="s">
        <v>107</v>
      </c>
      <c r="G6" s="70" t="s">
        <v>108</v>
      </c>
      <c r="H6" s="70" t="s">
        <v>109</v>
      </c>
      <c r="I6" s="70" t="s">
        <v>110</v>
      </c>
      <c r="J6" s="70" t="s">
        <v>111</v>
      </c>
      <c r="K6" s="70" t="s">
        <v>112</v>
      </c>
    </row>
    <row r="7" customFormat="false" ht="18" hidden="false" customHeight="true" outlineLevel="0" collapsed="false">
      <c r="B7" s="25" t="s">
        <v>191</v>
      </c>
      <c r="C7" s="46" t="s">
        <v>113</v>
      </c>
      <c r="D7" s="50" t="n">
        <v>38000</v>
      </c>
      <c r="E7" s="50" t="n">
        <v>37500</v>
      </c>
      <c r="F7" s="50" t="n">
        <v>400</v>
      </c>
      <c r="G7" s="51" t="n">
        <f aca="false">IFERROR(F7/(E7+F7),0)</f>
        <v>0.0105540897097625</v>
      </c>
      <c r="H7" s="50" t="n">
        <v>10000</v>
      </c>
      <c r="I7" s="50" t="n">
        <v>7200</v>
      </c>
      <c r="J7" s="52" t="n">
        <f aca="false">IFERROR(I7/H7,0)</f>
        <v>0.72</v>
      </c>
      <c r="K7" s="10" t="str">
        <f aca="false">IF(F7&gt;0,IF(J7&gt;0.9,"🔴 OOM/Queue Full","🟡 Queue Overflow"),"✅ None")</f>
        <v>🟡 Queue Overflow</v>
      </c>
    </row>
    <row r="8" customFormat="false" ht="18" hidden="false" customHeight="true" outlineLevel="0" collapsed="false">
      <c r="B8" s="48"/>
      <c r="C8" s="46"/>
      <c r="D8" s="50"/>
      <c r="E8" s="50"/>
      <c r="F8" s="50"/>
      <c r="G8" s="51" t="n">
        <f aca="false">IFERROR(F8/(E8+F8),0)</f>
        <v>0</v>
      </c>
      <c r="H8" s="50"/>
      <c r="I8" s="50"/>
      <c r="J8" s="52" t="n">
        <f aca="false">IFERROR(I8/H8,0)</f>
        <v>0</v>
      </c>
      <c r="K8" s="16" t="str">
        <f aca="false">IF(F8&gt;0,IF(J8&gt;0.9,"🔴 OOM/Queue Full","🟡 Queue Overflow"),"✅ None")</f>
        <v>✅ None</v>
      </c>
    </row>
    <row r="9" customFormat="false" ht="18" hidden="false" customHeight="true" outlineLevel="0" collapsed="false">
      <c r="B9" s="49"/>
      <c r="C9" s="46"/>
      <c r="D9" s="50"/>
      <c r="E9" s="50"/>
      <c r="F9" s="50"/>
      <c r="G9" s="51" t="n">
        <f aca="false">IFERROR(F9/(E9+F9),0)</f>
        <v>0</v>
      </c>
      <c r="H9" s="50"/>
      <c r="I9" s="50"/>
      <c r="J9" s="52" t="n">
        <f aca="false">IFERROR(I9/H9,0)</f>
        <v>0</v>
      </c>
      <c r="K9" s="10" t="str">
        <f aca="false">IF(F9&gt;0,IF(J9&gt;0.9,"🔴 OOM/Queue Full","🟡 Queue Overflow"),"✅ None")</f>
        <v>✅ None</v>
      </c>
    </row>
    <row r="10" customFormat="false" ht="18" hidden="false" customHeight="true" outlineLevel="0" collapsed="false">
      <c r="B10" s="48"/>
      <c r="C10" s="46"/>
      <c r="D10" s="50"/>
      <c r="E10" s="50"/>
      <c r="F10" s="50"/>
      <c r="G10" s="51" t="n">
        <f aca="false">IFERROR(F10/(E10+F10),0)</f>
        <v>0</v>
      </c>
      <c r="H10" s="50"/>
      <c r="I10" s="50"/>
      <c r="J10" s="52" t="n">
        <f aca="false">IFERROR(I10/H10,0)</f>
        <v>0</v>
      </c>
      <c r="K10" s="16" t="str">
        <f aca="false">IF(F10&gt;0,IF(J10&gt;0.9,"🔴 OOM/Queue Full","🟡 Queue Overflow"),"✅ None")</f>
        <v>✅ None</v>
      </c>
    </row>
    <row r="11" customFormat="false" ht="18" hidden="false" customHeight="true" outlineLevel="0" collapsed="false">
      <c r="B11" s="49"/>
      <c r="C11" s="46"/>
      <c r="D11" s="50"/>
      <c r="E11" s="50"/>
      <c r="F11" s="50"/>
      <c r="G11" s="51" t="n">
        <f aca="false">IFERROR(F11/(E11+F11),0)</f>
        <v>0</v>
      </c>
      <c r="H11" s="50"/>
      <c r="I11" s="50"/>
      <c r="J11" s="52" t="n">
        <f aca="false">IFERROR(I11/H11,0)</f>
        <v>0</v>
      </c>
      <c r="K11" s="10" t="str">
        <f aca="false">IF(F11&gt;0,IF(J11&gt;0.9,"🔴 OOM/Queue Full","🟡 Queue Overflow"),"✅ None")</f>
        <v>✅ None</v>
      </c>
    </row>
    <row r="12" customFormat="false" ht="18" hidden="false" customHeight="true" outlineLevel="0" collapsed="false">
      <c r="B12" s="48"/>
      <c r="C12" s="46"/>
      <c r="D12" s="50"/>
      <c r="E12" s="50"/>
      <c r="F12" s="50"/>
      <c r="G12" s="51" t="n">
        <f aca="false">IFERROR(F12/(E12+F12),0)</f>
        <v>0</v>
      </c>
      <c r="H12" s="50"/>
      <c r="I12" s="50"/>
      <c r="J12" s="52" t="n">
        <f aca="false">IFERROR(I12/H12,0)</f>
        <v>0</v>
      </c>
      <c r="K12" s="16" t="str">
        <f aca="false">IF(F12&gt;0,IF(J12&gt;0.9,"🔴 OOM/Queue Full","🟡 Queue Overflow"),"✅ None")</f>
        <v>✅ None</v>
      </c>
    </row>
    <row r="13" customFormat="false" ht="18" hidden="false" customHeight="true" outlineLevel="0" collapsed="false">
      <c r="B13" s="49"/>
      <c r="C13" s="46"/>
      <c r="D13" s="50"/>
      <c r="E13" s="50"/>
      <c r="F13" s="50"/>
      <c r="G13" s="51" t="n">
        <f aca="false">IFERROR(F13/(E13+F13),0)</f>
        <v>0</v>
      </c>
      <c r="H13" s="50"/>
      <c r="I13" s="50"/>
      <c r="J13" s="52" t="n">
        <f aca="false">IFERROR(I13/H13,0)</f>
        <v>0</v>
      </c>
      <c r="K13" s="10" t="str">
        <f aca="false">IF(F13&gt;0,IF(J13&gt;0.9,"🔴 OOM/Queue Full","🟡 Queue Overflow"),"✅ None")</f>
        <v>✅ None</v>
      </c>
    </row>
    <row r="14" customFormat="false" ht="18" hidden="false" customHeight="true" outlineLevel="0" collapsed="false">
      <c r="B14" s="48"/>
      <c r="C14" s="46"/>
      <c r="D14" s="50"/>
      <c r="E14" s="50"/>
      <c r="F14" s="50"/>
      <c r="G14" s="51" t="n">
        <f aca="false">IFERROR(F14/(E14+F14),0)</f>
        <v>0</v>
      </c>
      <c r="H14" s="50"/>
      <c r="I14" s="50"/>
      <c r="J14" s="52" t="n">
        <f aca="false">IFERROR(I14/H14,0)</f>
        <v>0</v>
      </c>
      <c r="K14" s="16" t="str">
        <f aca="false">IF(F14&gt;0,IF(J14&gt;0.9,"🔴 OOM/Queue Full","🟡 Queue Overflow"),"✅ None")</f>
        <v>✅ None</v>
      </c>
    </row>
    <row r="15" customFormat="false" ht="18" hidden="false" customHeight="true" outlineLevel="0" collapsed="false">
      <c r="B15" s="49"/>
      <c r="C15" s="46"/>
      <c r="D15" s="50"/>
      <c r="E15" s="50"/>
      <c r="F15" s="50"/>
      <c r="G15" s="51" t="n">
        <f aca="false">IFERROR(F15/(E15+F15),0)</f>
        <v>0</v>
      </c>
      <c r="H15" s="50"/>
      <c r="I15" s="50"/>
      <c r="J15" s="52" t="n">
        <f aca="false">IFERROR(I15/H15,0)</f>
        <v>0</v>
      </c>
      <c r="K15" s="10" t="str">
        <f aca="false">IF(F15&gt;0,IF(J15&gt;0.9,"🔴 OOM/Queue Full","🟡 Queue Overflow"),"✅ None")</f>
        <v>✅ None</v>
      </c>
    </row>
    <row r="16" customFormat="false" ht="18" hidden="false" customHeight="true" outlineLevel="0" collapsed="false">
      <c r="B16" s="48"/>
      <c r="C16" s="46"/>
      <c r="D16" s="50"/>
      <c r="E16" s="50"/>
      <c r="F16" s="50"/>
      <c r="G16" s="51" t="n">
        <f aca="false">IFERROR(F16/(E16+F16),0)</f>
        <v>0</v>
      </c>
      <c r="H16" s="50"/>
      <c r="I16" s="50"/>
      <c r="J16" s="52" t="n">
        <f aca="false">IFERROR(I16/H16,0)</f>
        <v>0</v>
      </c>
      <c r="K16" s="16" t="str">
        <f aca="false">IF(F16&gt;0,IF(J16&gt;0.9,"🔴 OOM/Queue Full","🟡 Queue Overflow"),"✅ None")</f>
        <v>✅ None</v>
      </c>
    </row>
    <row r="17" customFormat="false" ht="18" hidden="false" customHeight="true" outlineLevel="0" collapsed="false">
      <c r="B17" s="49"/>
      <c r="C17" s="46"/>
      <c r="D17" s="50"/>
      <c r="E17" s="50"/>
      <c r="F17" s="50"/>
      <c r="G17" s="51" t="n">
        <f aca="false">IFERROR(F17/(E17+F17),0)</f>
        <v>0</v>
      </c>
      <c r="H17" s="50"/>
      <c r="I17" s="50"/>
      <c r="J17" s="52" t="n">
        <f aca="false">IFERROR(I17/H17,0)</f>
        <v>0</v>
      </c>
      <c r="K17" s="10" t="str">
        <f aca="false">IF(F17&gt;0,IF(J17&gt;0.9,"🔴 OOM/Queue Full","🟡 Queue Overflow"),"✅ None")</f>
        <v>✅ None</v>
      </c>
    </row>
    <row r="18" customFormat="false" ht="18" hidden="false" customHeight="true" outlineLevel="0" collapsed="false">
      <c r="B18" s="48"/>
      <c r="C18" s="46"/>
      <c r="D18" s="50"/>
      <c r="E18" s="50"/>
      <c r="F18" s="50"/>
      <c r="G18" s="51" t="n">
        <f aca="false">IFERROR(F18/(E18+F18),0)</f>
        <v>0</v>
      </c>
      <c r="H18" s="50"/>
      <c r="I18" s="50"/>
      <c r="J18" s="52" t="n">
        <f aca="false">IFERROR(I18/H18,0)</f>
        <v>0</v>
      </c>
      <c r="K18" s="16" t="str">
        <f aca="false">IF(F18&gt;0,IF(J18&gt;0.9,"🔴 OOM/Queue Full","🟡 Queue Overflow"),"✅ None")</f>
        <v>✅ None</v>
      </c>
    </row>
    <row r="19" customFormat="false" ht="18" hidden="false" customHeight="true" outlineLevel="0" collapsed="false">
      <c r="B19" s="49"/>
      <c r="C19" s="46"/>
      <c r="D19" s="50"/>
      <c r="E19" s="50"/>
      <c r="F19" s="50"/>
      <c r="G19" s="51" t="n">
        <f aca="false">IFERROR(F19/(E19+F19),0)</f>
        <v>0</v>
      </c>
      <c r="H19" s="50"/>
      <c r="I19" s="50"/>
      <c r="J19" s="52" t="n">
        <f aca="false">IFERROR(I19/H19,0)</f>
        <v>0</v>
      </c>
      <c r="K19" s="10" t="str">
        <f aca="false">IF(F19&gt;0,IF(J19&gt;0.9,"🔴 OOM/Queue Full","🟡 Queue Overflow"),"✅ None")</f>
        <v>✅ None</v>
      </c>
    </row>
    <row r="20" customFormat="false" ht="18" hidden="false" customHeight="true" outlineLevel="0" collapsed="false">
      <c r="B20" s="48"/>
      <c r="C20" s="46"/>
      <c r="D20" s="50"/>
      <c r="E20" s="50"/>
      <c r="F20" s="50"/>
      <c r="G20" s="51" t="n">
        <f aca="false">IFERROR(F20/(E20+F20),0)</f>
        <v>0</v>
      </c>
      <c r="H20" s="50"/>
      <c r="I20" s="50"/>
      <c r="J20" s="52" t="n">
        <f aca="false">IFERROR(I20/H20,0)</f>
        <v>0</v>
      </c>
      <c r="K20" s="16" t="str">
        <f aca="false">IF(F20&gt;0,IF(J20&gt;0.9,"🔴 OOM/Queue Full","🟡 Queue Overflow"),"✅ None")</f>
        <v>✅ None</v>
      </c>
    </row>
    <row r="21" customFormat="false" ht="18" hidden="false" customHeight="true" outlineLevel="0" collapsed="false">
      <c r="B21" s="49"/>
      <c r="C21" s="46"/>
      <c r="D21" s="50"/>
      <c r="E21" s="50"/>
      <c r="F21" s="50"/>
      <c r="G21" s="51" t="n">
        <f aca="false">IFERROR(F21/(E21+F21),0)</f>
        <v>0</v>
      </c>
      <c r="H21" s="50"/>
      <c r="I21" s="50"/>
      <c r="J21" s="52" t="n">
        <f aca="false">IFERROR(I21/H21,0)</f>
        <v>0</v>
      </c>
      <c r="K21" s="10" t="str">
        <f aca="false">IF(F21&gt;0,IF(J21&gt;0.9,"🔴 OOM/Queue Full","🟡 Queue Overflow"),"✅ None")</f>
        <v>✅ None</v>
      </c>
    </row>
    <row r="22" customFormat="false" ht="18" hidden="false" customHeight="true" outlineLevel="0" collapsed="false">
      <c r="B22" s="48"/>
      <c r="C22" s="46"/>
      <c r="D22" s="50"/>
      <c r="E22" s="50"/>
      <c r="F22" s="50"/>
      <c r="G22" s="51" t="n">
        <f aca="false">IFERROR(F22/(E22+F22),0)</f>
        <v>0</v>
      </c>
      <c r="H22" s="50"/>
      <c r="I22" s="50"/>
      <c r="J22" s="52" t="n">
        <f aca="false">IFERROR(I22/H22,0)</f>
        <v>0</v>
      </c>
      <c r="K22" s="16" t="str">
        <f aca="false">IF(F22&gt;0,IF(J22&gt;0.9,"🔴 OOM/Queue Full","🟡 Queue Overflow"),"✅ None")</f>
        <v>✅ None</v>
      </c>
    </row>
    <row r="23" customFormat="false" ht="18" hidden="false" customHeight="true" outlineLevel="0" collapsed="false">
      <c r="B23" s="49"/>
      <c r="C23" s="46"/>
      <c r="D23" s="50"/>
      <c r="E23" s="50"/>
      <c r="F23" s="50"/>
      <c r="G23" s="51" t="n">
        <f aca="false">IFERROR(F23/(E23+F23),0)</f>
        <v>0</v>
      </c>
      <c r="H23" s="50"/>
      <c r="I23" s="50"/>
      <c r="J23" s="52" t="n">
        <f aca="false">IFERROR(I23/H23,0)</f>
        <v>0</v>
      </c>
      <c r="K23" s="10" t="str">
        <f aca="false">IF(F23&gt;0,IF(J23&gt;0.9,"🔴 OOM/Queue Full","🟡 Queue Overflow"),"✅ None")</f>
        <v>✅ None</v>
      </c>
    </row>
    <row r="24" customFormat="false" ht="18" hidden="false" customHeight="true" outlineLevel="0" collapsed="false">
      <c r="B24" s="48"/>
      <c r="C24" s="46"/>
      <c r="D24" s="50"/>
      <c r="E24" s="50"/>
      <c r="F24" s="50"/>
      <c r="G24" s="51" t="n">
        <f aca="false">IFERROR(F24/(E24+F24),0)</f>
        <v>0</v>
      </c>
      <c r="H24" s="50"/>
      <c r="I24" s="50"/>
      <c r="J24" s="52" t="n">
        <f aca="false">IFERROR(I24/H24,0)</f>
        <v>0</v>
      </c>
      <c r="K24" s="16" t="str">
        <f aca="false">IF(F24&gt;0,IF(J24&gt;0.9,"🔴 OOM/Queue Full","🟡 Queue Overflow"),"✅ None")</f>
        <v>✅ None</v>
      </c>
    </row>
    <row r="25" customFormat="false" ht="18" hidden="false" customHeight="true" outlineLevel="0" collapsed="false">
      <c r="B25" s="49"/>
      <c r="C25" s="46"/>
      <c r="D25" s="50"/>
      <c r="E25" s="50"/>
      <c r="F25" s="50"/>
      <c r="G25" s="51" t="n">
        <f aca="false">IFERROR(F25/(E25+F25),0)</f>
        <v>0</v>
      </c>
      <c r="H25" s="50"/>
      <c r="I25" s="50"/>
      <c r="J25" s="52" t="n">
        <f aca="false">IFERROR(I25/H25,0)</f>
        <v>0</v>
      </c>
      <c r="K25" s="10" t="str">
        <f aca="false">IF(F25&gt;0,IF(J25&gt;0.9,"🔴 OOM/Queue Full","🟡 Queue Overflow"),"✅ None")</f>
        <v>✅ None</v>
      </c>
    </row>
    <row r="26" customFormat="false" ht="18" hidden="false" customHeight="true" outlineLevel="0" collapsed="false">
      <c r="B26" s="48"/>
      <c r="C26" s="46"/>
      <c r="D26" s="50"/>
      <c r="E26" s="50"/>
      <c r="F26" s="50"/>
      <c r="G26" s="51" t="n">
        <f aca="false">IFERROR(F26/(E26+F26),0)</f>
        <v>0</v>
      </c>
      <c r="H26" s="50"/>
      <c r="I26" s="50"/>
      <c r="J26" s="52" t="n">
        <f aca="false">IFERROR(I26/H26,0)</f>
        <v>0</v>
      </c>
      <c r="K26" s="16" t="str">
        <f aca="false">IF(F26&gt;0,IF(J26&gt;0.9,"🔴 OOM/Queue Full","🟡 Queue Overflow"),"✅ None")</f>
        <v>✅ None</v>
      </c>
    </row>
    <row r="27" customFormat="false" ht="18" hidden="false" customHeight="true" outlineLevel="0" collapsed="false">
      <c r="B27" s="49"/>
      <c r="C27" s="46"/>
      <c r="D27" s="50"/>
      <c r="E27" s="50"/>
      <c r="F27" s="50"/>
      <c r="G27" s="51" t="n">
        <f aca="false">IFERROR(F27/(E27+F27),0)</f>
        <v>0</v>
      </c>
      <c r="H27" s="50"/>
      <c r="I27" s="50"/>
      <c r="J27" s="52" t="n">
        <f aca="false">IFERROR(I27/H27,0)</f>
        <v>0</v>
      </c>
      <c r="K27" s="10" t="str">
        <f aca="false">IF(F27&gt;0,IF(J27&gt;0.9,"🔴 OOM/Queue Full","🟡 Queue Overflow"),"✅ None")</f>
        <v>✅ None</v>
      </c>
    </row>
    <row r="28" customFormat="false" ht="18" hidden="false" customHeight="true" outlineLevel="0" collapsed="false">
      <c r="B28" s="48"/>
      <c r="C28" s="46"/>
      <c r="D28" s="50"/>
      <c r="E28" s="50"/>
      <c r="F28" s="50"/>
      <c r="G28" s="51" t="n">
        <f aca="false">IFERROR(F28/(E28+F28),0)</f>
        <v>0</v>
      </c>
      <c r="H28" s="50"/>
      <c r="I28" s="50"/>
      <c r="J28" s="52" t="n">
        <f aca="false">IFERROR(I28/H28,0)</f>
        <v>0</v>
      </c>
      <c r="K28" s="16" t="str">
        <f aca="false">IF(F28&gt;0,IF(J28&gt;0.9,"🔴 OOM/Queue Full","🟡 Queue Overflow"),"✅ None")</f>
        <v>✅ None</v>
      </c>
    </row>
    <row r="29" customFormat="false" ht="18" hidden="false" customHeight="true" outlineLevel="0" collapsed="false">
      <c r="B29" s="49"/>
      <c r="C29" s="46"/>
      <c r="D29" s="50"/>
      <c r="E29" s="50"/>
      <c r="F29" s="50"/>
      <c r="G29" s="51" t="n">
        <f aca="false">IFERROR(F29/(E29+F29),0)</f>
        <v>0</v>
      </c>
      <c r="H29" s="50"/>
      <c r="I29" s="50"/>
      <c r="J29" s="52" t="n">
        <f aca="false">IFERROR(I29/H29,0)</f>
        <v>0</v>
      </c>
      <c r="K29" s="10" t="str">
        <f aca="false">IF(F29&gt;0,IF(J29&gt;0.9,"🔴 OOM/Queue Full","🟡 Queue Overflow"),"✅ None")</f>
        <v>✅ None</v>
      </c>
    </row>
    <row r="30" customFormat="false" ht="18" hidden="false" customHeight="true" outlineLevel="0" collapsed="false">
      <c r="B30" s="48"/>
      <c r="C30" s="46"/>
      <c r="D30" s="50"/>
      <c r="E30" s="50"/>
      <c r="F30" s="50"/>
      <c r="G30" s="51" t="n">
        <f aca="false">IFERROR(F30/(E30+F30),0)</f>
        <v>0</v>
      </c>
      <c r="H30" s="50"/>
      <c r="I30" s="50"/>
      <c r="J30" s="52" t="n">
        <f aca="false">IFERROR(I30/H30,0)</f>
        <v>0</v>
      </c>
      <c r="K30" s="16" t="str">
        <f aca="false">IF(F30&gt;0,IF(J30&gt;0.9,"🔴 OOM/Queue Full","🟡 Queue Overflow"),"✅ None")</f>
        <v>✅ None</v>
      </c>
    </row>
    <row r="31" customFormat="false" ht="18" hidden="false" customHeight="true" outlineLevel="0" collapsed="false">
      <c r="B31" s="49"/>
      <c r="C31" s="46"/>
      <c r="D31" s="50"/>
      <c r="E31" s="50"/>
      <c r="F31" s="50"/>
      <c r="G31" s="51" t="n">
        <f aca="false">IFERROR(F31/(E31+F31),0)</f>
        <v>0</v>
      </c>
      <c r="H31" s="50"/>
      <c r="I31" s="50"/>
      <c r="J31" s="52" t="n">
        <f aca="false">IFERROR(I31/H31,0)</f>
        <v>0</v>
      </c>
      <c r="K31" s="10" t="str">
        <f aca="false">IF(F31&gt;0,IF(J31&gt;0.9,"🔴 OOM/Queue Full","🟡 Queue Overflow"),"✅ None")</f>
        <v>✅ None</v>
      </c>
    </row>
    <row r="32" customFormat="false" ht="18" hidden="false" customHeight="true" outlineLevel="0" collapsed="false">
      <c r="B32" s="48"/>
      <c r="C32" s="46"/>
      <c r="D32" s="50"/>
      <c r="E32" s="50"/>
      <c r="F32" s="50"/>
      <c r="G32" s="51" t="n">
        <f aca="false">IFERROR(F32/(E32+F32),0)</f>
        <v>0</v>
      </c>
      <c r="H32" s="50"/>
      <c r="I32" s="50"/>
      <c r="J32" s="52" t="n">
        <f aca="false">IFERROR(I32/H32,0)</f>
        <v>0</v>
      </c>
      <c r="K32" s="16" t="str">
        <f aca="false">IF(F32&gt;0,IF(J32&gt;0.9,"🔴 OOM/Queue Full","🟡 Queue Overflow"),"✅ None")</f>
        <v>✅ None</v>
      </c>
    </row>
    <row r="33" customFormat="false" ht="18" hidden="false" customHeight="true" outlineLevel="0" collapsed="false">
      <c r="B33" s="49"/>
      <c r="C33" s="46"/>
      <c r="D33" s="50"/>
      <c r="E33" s="50"/>
      <c r="F33" s="50"/>
      <c r="G33" s="51" t="n">
        <f aca="false">IFERROR(F33/(E33+F33),0)</f>
        <v>0</v>
      </c>
      <c r="H33" s="50"/>
      <c r="I33" s="50"/>
      <c r="J33" s="52" t="n">
        <f aca="false">IFERROR(I33/H33,0)</f>
        <v>0</v>
      </c>
      <c r="K33" s="10" t="str">
        <f aca="false">IF(F33&gt;0,IF(J33&gt;0.9,"🔴 OOM/Queue Full","🟡 Queue Overflow"),"✅ None")</f>
        <v>✅ None</v>
      </c>
    </row>
    <row r="34" customFormat="false" ht="18" hidden="false" customHeight="true" outlineLevel="0" collapsed="false">
      <c r="B34" s="48"/>
      <c r="C34" s="46"/>
      <c r="D34" s="50"/>
      <c r="E34" s="50"/>
      <c r="F34" s="50"/>
      <c r="G34" s="51" t="n">
        <f aca="false">IFERROR(F34/(E34+F34),0)</f>
        <v>0</v>
      </c>
      <c r="H34" s="50"/>
      <c r="I34" s="50"/>
      <c r="J34" s="52" t="n">
        <f aca="false">IFERROR(I34/H34,0)</f>
        <v>0</v>
      </c>
      <c r="K34" s="16" t="str">
        <f aca="false">IF(F34&gt;0,IF(J34&gt;0.9,"🔴 OOM/Queue Full","🟡 Queue Overflow"),"✅ None")</f>
        <v>✅ None</v>
      </c>
    </row>
    <row r="35" customFormat="false" ht="18" hidden="false" customHeight="true" outlineLevel="0" collapsed="false">
      <c r="B35" s="49"/>
      <c r="C35" s="46"/>
      <c r="D35" s="50"/>
      <c r="E35" s="50"/>
      <c r="F35" s="50"/>
      <c r="G35" s="51" t="n">
        <f aca="false">IFERROR(F35/(E35+F35),0)</f>
        <v>0</v>
      </c>
      <c r="H35" s="50"/>
      <c r="I35" s="50"/>
      <c r="J35" s="52" t="n">
        <f aca="false">IFERROR(I35/H35,0)</f>
        <v>0</v>
      </c>
      <c r="K35" s="10" t="str">
        <f aca="false">IF(F35&gt;0,IF(J35&gt;0.9,"🔴 OOM/Queue Full","🟡 Queue Overflow"),"✅ None")</f>
        <v>✅ None</v>
      </c>
    </row>
    <row r="36" customFormat="false" ht="18" hidden="false" customHeight="true" outlineLevel="0" collapsed="false">
      <c r="B36" s="48"/>
      <c r="C36" s="46"/>
      <c r="D36" s="50"/>
      <c r="E36" s="50"/>
      <c r="F36" s="50"/>
      <c r="G36" s="51" t="n">
        <f aca="false">IFERROR(F36/(E36+F36),0)</f>
        <v>0</v>
      </c>
      <c r="H36" s="50"/>
      <c r="I36" s="50"/>
      <c r="J36" s="52" t="n">
        <f aca="false">IFERROR(I36/H36,0)</f>
        <v>0</v>
      </c>
      <c r="K36" s="16" t="str">
        <f aca="false">IF(F36&gt;0,IF(J36&gt;0.9,"🔴 OOM/Queue Full","🟡 Queue Overflow"),"✅ None")</f>
        <v>✅ None</v>
      </c>
    </row>
    <row r="37" customFormat="false" ht="18" hidden="false" customHeight="true" outlineLevel="0" collapsed="false">
      <c r="B37" s="49"/>
      <c r="C37" s="46"/>
      <c r="D37" s="50"/>
      <c r="E37" s="50"/>
      <c r="F37" s="50"/>
      <c r="G37" s="51" t="n">
        <f aca="false">IFERROR(F37/(E37+F37),0)</f>
        <v>0</v>
      </c>
      <c r="H37" s="50"/>
      <c r="I37" s="50"/>
      <c r="J37" s="52" t="n">
        <f aca="false">IFERROR(I37/H37,0)</f>
        <v>0</v>
      </c>
      <c r="K37" s="10" t="str">
        <f aca="false">IF(F37&gt;0,IF(J37&gt;0.9,"🔴 OOM/Queue Full","🟡 Queue Overflow"),"✅ None")</f>
        <v>✅ None</v>
      </c>
    </row>
    <row r="38" customFormat="false" ht="18" hidden="false" customHeight="true" outlineLevel="0" collapsed="false">
      <c r="B38" s="48"/>
      <c r="C38" s="46"/>
      <c r="D38" s="50"/>
      <c r="E38" s="50"/>
      <c r="F38" s="50"/>
      <c r="G38" s="51" t="n">
        <f aca="false">IFERROR(F38/(E38+F38),0)</f>
        <v>0</v>
      </c>
      <c r="H38" s="50"/>
      <c r="I38" s="50"/>
      <c r="J38" s="52" t="n">
        <f aca="false">IFERROR(I38/H38,0)</f>
        <v>0</v>
      </c>
      <c r="K38" s="16" t="str">
        <f aca="false">IF(F38&gt;0,IF(J38&gt;0.9,"🔴 OOM/Queue Full","🟡 Queue Overflow"),"✅ None")</f>
        <v>✅ None</v>
      </c>
    </row>
    <row r="39" customFormat="false" ht="18" hidden="false" customHeight="true" outlineLevel="0" collapsed="false">
      <c r="B39" s="49"/>
      <c r="C39" s="46"/>
      <c r="D39" s="50"/>
      <c r="E39" s="50"/>
      <c r="F39" s="50"/>
      <c r="G39" s="51" t="n">
        <f aca="false">IFERROR(F39/(E39+F39),0)</f>
        <v>0</v>
      </c>
      <c r="H39" s="50"/>
      <c r="I39" s="50"/>
      <c r="J39" s="52" t="n">
        <f aca="false">IFERROR(I39/H39,0)</f>
        <v>0</v>
      </c>
      <c r="K39" s="10" t="str">
        <f aca="false">IF(F39&gt;0,IF(J39&gt;0.9,"🔴 OOM/Queue Full","🟡 Queue Overflow"),"✅ None")</f>
        <v>✅ None</v>
      </c>
    </row>
    <row r="40" customFormat="false" ht="18" hidden="false" customHeight="true" outlineLevel="0" collapsed="false">
      <c r="B40" s="48"/>
      <c r="C40" s="46"/>
      <c r="D40" s="50"/>
      <c r="E40" s="50"/>
      <c r="F40" s="50"/>
      <c r="G40" s="51" t="n">
        <f aca="false">IFERROR(F40/(E40+F40),0)</f>
        <v>0</v>
      </c>
      <c r="H40" s="50"/>
      <c r="I40" s="50"/>
      <c r="J40" s="52" t="n">
        <f aca="false">IFERROR(I40/H40,0)</f>
        <v>0</v>
      </c>
      <c r="K40" s="16" t="str">
        <f aca="false">IF(F40&gt;0,IF(J40&gt;0.9,"🔴 OOM/Queue Full","🟡 Queue Overflow"),"✅ None")</f>
        <v>✅ None</v>
      </c>
    </row>
    <row r="41" customFormat="false" ht="18" hidden="false" customHeight="true" outlineLevel="0" collapsed="false">
      <c r="B41" s="49"/>
      <c r="C41" s="46"/>
      <c r="D41" s="50"/>
      <c r="E41" s="50"/>
      <c r="F41" s="50"/>
      <c r="G41" s="51" t="n">
        <f aca="false">IFERROR(F41/(E41+F41),0)</f>
        <v>0</v>
      </c>
      <c r="H41" s="50"/>
      <c r="I41" s="50"/>
      <c r="J41" s="52" t="n">
        <f aca="false">IFERROR(I41/H41,0)</f>
        <v>0</v>
      </c>
      <c r="K41" s="10" t="str">
        <f aca="false">IF(F41&gt;0,IF(J41&gt;0.9,"🔴 OOM/Queue Full","🟡 Queue Overflow"),"✅ None")</f>
        <v>✅ None</v>
      </c>
    </row>
    <row r="42" customFormat="false" ht="18" hidden="false" customHeight="true" outlineLevel="0" collapsed="false">
      <c r="B42" s="48"/>
      <c r="C42" s="46"/>
      <c r="D42" s="50"/>
      <c r="E42" s="50"/>
      <c r="F42" s="50"/>
      <c r="G42" s="51" t="n">
        <f aca="false">IFERROR(F42/(E42+F42),0)</f>
        <v>0</v>
      </c>
      <c r="H42" s="50"/>
      <c r="I42" s="50"/>
      <c r="J42" s="52" t="n">
        <f aca="false">IFERROR(I42/H42,0)</f>
        <v>0</v>
      </c>
      <c r="K42" s="16" t="str">
        <f aca="false">IF(F42&gt;0,IF(J42&gt;0.9,"🔴 OOM/Queue Full","🟡 Queue Overflow"),"✅ None")</f>
        <v>✅ None</v>
      </c>
    </row>
    <row r="43" customFormat="false" ht="18" hidden="false" customHeight="true" outlineLevel="0" collapsed="false">
      <c r="B43" s="49"/>
      <c r="C43" s="46"/>
      <c r="D43" s="50"/>
      <c r="E43" s="50"/>
      <c r="F43" s="50"/>
      <c r="G43" s="51" t="n">
        <f aca="false">IFERROR(F43/(E43+F43),0)</f>
        <v>0</v>
      </c>
      <c r="H43" s="50"/>
      <c r="I43" s="50"/>
      <c r="J43" s="52" t="n">
        <f aca="false">IFERROR(I43/H43,0)</f>
        <v>0</v>
      </c>
      <c r="K43" s="10" t="str">
        <f aca="false">IF(F43&gt;0,IF(J43&gt;0.9,"🔴 OOM/Queue Full","🟡 Queue Overflow"),"✅ None")</f>
        <v>✅ None</v>
      </c>
    </row>
    <row r="44" customFormat="false" ht="18" hidden="false" customHeight="true" outlineLevel="0" collapsed="false">
      <c r="B44" s="48"/>
      <c r="C44" s="46"/>
      <c r="D44" s="50"/>
      <c r="E44" s="50"/>
      <c r="F44" s="50"/>
      <c r="G44" s="51" t="n">
        <f aca="false">IFERROR(F44/(E44+F44),0)</f>
        <v>0</v>
      </c>
      <c r="H44" s="50"/>
      <c r="I44" s="50"/>
      <c r="J44" s="52" t="n">
        <f aca="false">IFERROR(I44/H44,0)</f>
        <v>0</v>
      </c>
      <c r="K44" s="16" t="str">
        <f aca="false">IF(F44&gt;0,IF(J44&gt;0.9,"🔴 OOM/Queue Full","🟡 Queue Overflow"),"✅ None")</f>
        <v>✅ None</v>
      </c>
    </row>
    <row r="45" customFormat="false" ht="18" hidden="false" customHeight="true" outlineLevel="0" collapsed="false">
      <c r="B45" s="49"/>
      <c r="C45" s="46"/>
      <c r="D45" s="50"/>
      <c r="E45" s="50"/>
      <c r="F45" s="50"/>
      <c r="G45" s="51" t="n">
        <f aca="false">IFERROR(F45/(E45+F45),0)</f>
        <v>0</v>
      </c>
      <c r="H45" s="50"/>
      <c r="I45" s="50"/>
      <c r="J45" s="52" t="n">
        <f aca="false">IFERROR(I45/H45,0)</f>
        <v>0</v>
      </c>
      <c r="K45" s="10" t="str">
        <f aca="false">IF(F45&gt;0,IF(J45&gt;0.9,"🔴 OOM/Queue Full","🟡 Queue Overflow"),"✅ None")</f>
        <v>✅ None</v>
      </c>
    </row>
    <row r="46" customFormat="false" ht="18" hidden="false" customHeight="true" outlineLevel="0" collapsed="false">
      <c r="B46" s="48"/>
      <c r="C46" s="46"/>
      <c r="D46" s="50"/>
      <c r="E46" s="50"/>
      <c r="F46" s="50"/>
      <c r="G46" s="51" t="n">
        <f aca="false">IFERROR(F46/(E46+F46),0)</f>
        <v>0</v>
      </c>
      <c r="H46" s="50"/>
      <c r="I46" s="50"/>
      <c r="J46" s="52" t="n">
        <f aca="false">IFERROR(I46/H46,0)</f>
        <v>0</v>
      </c>
      <c r="K46" s="16" t="str">
        <f aca="false">IF(F46&gt;0,IF(J46&gt;0.9,"🔴 OOM/Queue Full","🟡 Queue Overflow"),"✅ None")</f>
        <v>✅ None</v>
      </c>
    </row>
    <row r="47" customFormat="false" ht="18" hidden="false" customHeight="true" outlineLevel="0" collapsed="false">
      <c r="B47" s="49"/>
      <c r="C47" s="46"/>
      <c r="D47" s="50"/>
      <c r="E47" s="50"/>
      <c r="F47" s="50"/>
      <c r="G47" s="51" t="n">
        <f aca="false">IFERROR(F47/(E47+F47),0)</f>
        <v>0</v>
      </c>
      <c r="H47" s="50"/>
      <c r="I47" s="50"/>
      <c r="J47" s="52" t="n">
        <f aca="false">IFERROR(I47/H47,0)</f>
        <v>0</v>
      </c>
      <c r="K47" s="10" t="str">
        <f aca="false">IF(F47&gt;0,IF(J47&gt;0.9,"🔴 OOM/Queue Full","🟡 Queue Overflow"),"✅ None")</f>
        <v>✅ None</v>
      </c>
    </row>
    <row r="48" customFormat="false" ht="18" hidden="false" customHeight="true" outlineLevel="0" collapsed="false">
      <c r="B48" s="48"/>
      <c r="C48" s="46"/>
      <c r="D48" s="50"/>
      <c r="E48" s="50"/>
      <c r="F48" s="50"/>
      <c r="G48" s="51" t="n">
        <f aca="false">IFERROR(F48/(E48+F48),0)</f>
        <v>0</v>
      </c>
      <c r="H48" s="50"/>
      <c r="I48" s="50"/>
      <c r="J48" s="52" t="n">
        <f aca="false">IFERROR(I48/H48,0)</f>
        <v>0</v>
      </c>
      <c r="K48" s="16" t="str">
        <f aca="false">IF(F48&gt;0,IF(J48&gt;0.9,"🔴 OOM/Queue Full","🟡 Queue Overflow"),"✅ None")</f>
        <v>✅ None</v>
      </c>
    </row>
    <row r="49" customFormat="false" ht="18" hidden="false" customHeight="true" outlineLevel="0" collapsed="false">
      <c r="B49" s="49"/>
      <c r="C49" s="46"/>
      <c r="D49" s="50"/>
      <c r="E49" s="50"/>
      <c r="F49" s="50"/>
      <c r="G49" s="51" t="n">
        <f aca="false">IFERROR(F49/(E49+F49),0)</f>
        <v>0</v>
      </c>
      <c r="H49" s="50"/>
      <c r="I49" s="50"/>
      <c r="J49" s="52" t="n">
        <f aca="false">IFERROR(I49/H49,0)</f>
        <v>0</v>
      </c>
      <c r="K49" s="10" t="str">
        <f aca="false">IF(F49&gt;0,IF(J49&gt;0.9,"🔴 OOM/Queue Full","🟡 Queue Overflow"),"✅ None")</f>
        <v>✅ None</v>
      </c>
    </row>
    <row r="50" customFormat="false" ht="18" hidden="false" customHeight="true" outlineLevel="0" collapsed="false">
      <c r="B50" s="48"/>
      <c r="C50" s="46"/>
      <c r="D50" s="50"/>
      <c r="E50" s="50"/>
      <c r="F50" s="50"/>
      <c r="G50" s="51" t="n">
        <f aca="false">IFERROR(F50/(E50+F50),0)</f>
        <v>0</v>
      </c>
      <c r="H50" s="50"/>
      <c r="I50" s="50"/>
      <c r="J50" s="52" t="n">
        <f aca="false">IFERROR(I50/H50,0)</f>
        <v>0</v>
      </c>
      <c r="K50" s="16" t="str">
        <f aca="false">IF(F50&gt;0,IF(J50&gt;0.9,"🔴 OOM/Queue Full","🟡 Queue Overflow"),"✅ None")</f>
        <v>✅ None</v>
      </c>
    </row>
    <row r="51" customFormat="false" ht="18" hidden="false" customHeight="true" outlineLevel="0" collapsed="false">
      <c r="B51" s="49"/>
      <c r="C51" s="46"/>
      <c r="D51" s="50"/>
      <c r="E51" s="50"/>
      <c r="F51" s="50"/>
      <c r="G51" s="51" t="n">
        <f aca="false">IFERROR(F51/(E51+F51),0)</f>
        <v>0</v>
      </c>
      <c r="H51" s="50"/>
      <c r="I51" s="50"/>
      <c r="J51" s="52" t="n">
        <f aca="false">IFERROR(I51/H51,0)</f>
        <v>0</v>
      </c>
      <c r="K51" s="10" t="str">
        <f aca="false">IF(F51&gt;0,IF(J51&gt;0.9,"🔴 OOM/Queue Full","🟡 Queue Overflow"),"✅ None")</f>
        <v>✅ None</v>
      </c>
    </row>
    <row r="52" customFormat="false" ht="18" hidden="false" customHeight="true" outlineLevel="0" collapsed="false">
      <c r="B52" s="48"/>
      <c r="C52" s="46"/>
      <c r="D52" s="50"/>
      <c r="E52" s="50"/>
      <c r="F52" s="50"/>
      <c r="G52" s="51" t="n">
        <f aca="false">IFERROR(F52/(E52+F52),0)</f>
        <v>0</v>
      </c>
      <c r="H52" s="50"/>
      <c r="I52" s="50"/>
      <c r="J52" s="52" t="n">
        <f aca="false">IFERROR(I52/H52,0)</f>
        <v>0</v>
      </c>
      <c r="K52" s="16" t="str">
        <f aca="false">IF(F52&gt;0,IF(J52&gt;0.9,"🔴 OOM/Queue Full","🟡 Queue Overflow"),"✅ None")</f>
        <v>✅ None</v>
      </c>
    </row>
    <row r="53" customFormat="false" ht="18" hidden="false" customHeight="true" outlineLevel="0" collapsed="false">
      <c r="B53" s="49"/>
      <c r="C53" s="46"/>
      <c r="D53" s="50"/>
      <c r="E53" s="50"/>
      <c r="F53" s="50"/>
      <c r="G53" s="51" t="n">
        <f aca="false">IFERROR(F53/(E53+F53),0)</f>
        <v>0</v>
      </c>
      <c r="H53" s="50"/>
      <c r="I53" s="50"/>
      <c r="J53" s="52" t="n">
        <f aca="false">IFERROR(I53/H53,0)</f>
        <v>0</v>
      </c>
      <c r="K53" s="10" t="str">
        <f aca="false">IF(F53&gt;0,IF(J53&gt;0.9,"🔴 OOM/Queue Full","🟡 Queue Overflow"),"✅ None")</f>
        <v>✅ None</v>
      </c>
    </row>
    <row r="54" customFormat="false" ht="18" hidden="false" customHeight="true" outlineLevel="0" collapsed="false">
      <c r="B54" s="48"/>
      <c r="C54" s="46"/>
      <c r="D54" s="50"/>
      <c r="E54" s="50"/>
      <c r="F54" s="50"/>
      <c r="G54" s="51" t="n">
        <f aca="false">IFERROR(F54/(E54+F54),0)</f>
        <v>0</v>
      </c>
      <c r="H54" s="50"/>
      <c r="I54" s="50"/>
      <c r="J54" s="52" t="n">
        <f aca="false">IFERROR(I54/H54,0)</f>
        <v>0</v>
      </c>
      <c r="K54" s="16" t="str">
        <f aca="false">IF(F54&gt;0,IF(J54&gt;0.9,"🔴 OOM/Queue Full","🟡 Queue Overflow"),"✅ None")</f>
        <v>✅ None</v>
      </c>
    </row>
    <row r="55" customFormat="false" ht="18" hidden="false" customHeight="true" outlineLevel="0" collapsed="false">
      <c r="B55" s="49"/>
      <c r="C55" s="46"/>
      <c r="D55" s="50"/>
      <c r="E55" s="50"/>
      <c r="F55" s="50"/>
      <c r="G55" s="51" t="n">
        <f aca="false">IFERROR(F55/(E55+F55),0)</f>
        <v>0</v>
      </c>
      <c r="H55" s="50"/>
      <c r="I55" s="50"/>
      <c r="J55" s="52" t="n">
        <f aca="false">IFERROR(I55/H55,0)</f>
        <v>0</v>
      </c>
      <c r="K55" s="10" t="str">
        <f aca="false">IF(F55&gt;0,IF(J55&gt;0.9,"🔴 OOM/Queue Full","🟡 Queue Overflow"),"✅ None")</f>
        <v>✅ None</v>
      </c>
    </row>
    <row r="56" customFormat="false" ht="18" hidden="false" customHeight="true" outlineLevel="0" collapsed="false">
      <c r="B56" s="48"/>
      <c r="C56" s="46"/>
      <c r="D56" s="50"/>
      <c r="E56" s="50"/>
      <c r="F56" s="50"/>
      <c r="G56" s="51" t="n">
        <f aca="false">IFERROR(F56/(E56+F56),0)</f>
        <v>0</v>
      </c>
      <c r="H56" s="50"/>
      <c r="I56" s="50"/>
      <c r="J56" s="52" t="n">
        <f aca="false">IFERROR(I56/H56,0)</f>
        <v>0</v>
      </c>
      <c r="K56" s="16" t="str">
        <f aca="false">IF(F56&gt;0,IF(J56&gt;0.9,"🔴 OOM/Queue Full","🟡 Queue Overflow"),"✅ None")</f>
        <v>✅ None</v>
      </c>
    </row>
  </sheetData>
  <mergeCells count="3">
    <mergeCell ref="B1:K1"/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38"/>
    <col collapsed="false" customWidth="true" hidden="false" outlineLevel="0" max="6" min="6" style="0" width="3"/>
  </cols>
  <sheetData>
    <row r="1" customFormat="false" ht="31.5" hidden="false" customHeight="true" outlineLevel="0" collapsed="false">
      <c r="B1" s="39" t="s">
        <v>194</v>
      </c>
      <c r="C1" s="39"/>
      <c r="D1" s="39"/>
      <c r="E1" s="39"/>
    </row>
    <row r="3" customFormat="false" ht="21.75" hidden="false" customHeight="true" outlineLevel="0" collapsed="false">
      <c r="B3" s="69" t="s">
        <v>115</v>
      </c>
      <c r="C3" s="69"/>
      <c r="D3" s="69"/>
      <c r="E3" s="69"/>
    </row>
    <row r="4" customFormat="false" ht="19.5" hidden="false" customHeight="true" outlineLevel="0" collapsed="false">
      <c r="B4" s="53" t="s">
        <v>116</v>
      </c>
      <c r="C4" s="54" t="n">
        <f aca="false">'🖥 DC4 Inventory'!C4</f>
        <v>1</v>
      </c>
      <c r="D4" s="45" t="s">
        <v>117</v>
      </c>
    </row>
    <row r="5" customFormat="false" ht="19.5" hidden="false" customHeight="true" outlineLevel="0" collapsed="false">
      <c r="B5" s="53" t="s">
        <v>118</v>
      </c>
      <c r="C5" s="52" t="n">
        <f aca="false">'🖥 DC4 Inventory'!H4</f>
        <v>0.61</v>
      </c>
      <c r="D5" s="45" t="s">
        <v>119</v>
      </c>
    </row>
    <row r="6" customFormat="false" ht="19.5" hidden="false" customHeight="true" outlineLevel="0" collapsed="false">
      <c r="B6" s="53" t="s">
        <v>120</v>
      </c>
      <c r="C6" s="52" t="n">
        <f aca="false">'🖥 DC4 Inventory'!I4</f>
        <v>0.67</v>
      </c>
      <c r="D6" s="45" t="s">
        <v>119</v>
      </c>
    </row>
    <row r="7" customFormat="false" ht="19.5" hidden="false" customHeight="true" outlineLevel="0" collapsed="false">
      <c r="B7" s="53" t="s">
        <v>121</v>
      </c>
      <c r="C7" s="54" t="n">
        <f aca="false">'🖥 DC4 Inventory'!D4</f>
        <v>8</v>
      </c>
      <c r="D7" s="45" t="s">
        <v>84</v>
      </c>
    </row>
    <row r="8" customFormat="false" ht="19.5" hidden="false" customHeight="true" outlineLevel="0" collapsed="false">
      <c r="B8" s="53" t="s">
        <v>122</v>
      </c>
      <c r="C8" s="54" t="n">
        <f aca="false">'🖥 DC4 Inventory'!E4</f>
        <v>32</v>
      </c>
      <c r="D8" s="45" t="s">
        <v>123</v>
      </c>
    </row>
    <row r="9" customFormat="false" ht="19.5" hidden="false" customHeight="true" outlineLevel="0" collapsed="false">
      <c r="B9" s="53" t="s">
        <v>124</v>
      </c>
      <c r="C9" s="54" t="n">
        <f aca="false">'📡 DC4 Metrics'!C4</f>
        <v>37500</v>
      </c>
      <c r="D9" s="45" t="s">
        <v>125</v>
      </c>
    </row>
    <row r="10" customFormat="false" ht="19.5" hidden="false" customHeight="true" outlineLevel="0" collapsed="false">
      <c r="B10" s="53" t="s">
        <v>126</v>
      </c>
      <c r="C10" s="54" t="n">
        <f aca="false">'📡 DC4 Metrics'!D4</f>
        <v>400</v>
      </c>
      <c r="D10" s="45" t="s">
        <v>127</v>
      </c>
    </row>
    <row r="11" customFormat="false" ht="19.5" hidden="false" customHeight="true" outlineLevel="0" collapsed="false">
      <c r="B11" s="53" t="s">
        <v>128</v>
      </c>
      <c r="C11" s="51" t="n">
        <f aca="false">'📡 DC4 Metrics'!E4</f>
        <v>0.0105540897097625</v>
      </c>
      <c r="D11" s="45" t="s">
        <v>119</v>
      </c>
    </row>
    <row r="12" customFormat="false" ht="19.5" hidden="false" customHeight="true" outlineLevel="0" collapsed="false">
      <c r="B12" s="53" t="s">
        <v>129</v>
      </c>
      <c r="C12" s="55" t="n">
        <f aca="false">'📡 DC4 Metrics'!G4</f>
        <v>1</v>
      </c>
      <c r="D12" s="45" t="s">
        <v>117</v>
      </c>
    </row>
    <row r="14" customFormat="false" ht="21.75" hidden="false" customHeight="true" outlineLevel="0" collapsed="false">
      <c r="B14" s="69" t="s">
        <v>130</v>
      </c>
      <c r="C14" s="69"/>
      <c r="D14" s="69"/>
      <c r="E14" s="69"/>
    </row>
    <row r="15" customFormat="false" ht="19.5" hidden="false" customHeight="true" outlineLevel="0" collapsed="false">
      <c r="B15" s="53" t="s">
        <v>131</v>
      </c>
      <c r="C15" s="44" t="n">
        <v>0.65</v>
      </c>
      <c r="D15" s="45" t="s">
        <v>119</v>
      </c>
      <c r="E15" s="45" t="s">
        <v>132</v>
      </c>
    </row>
    <row r="16" customFormat="false" ht="19.5" hidden="false" customHeight="true" outlineLevel="0" collapsed="false">
      <c r="B16" s="53" t="s">
        <v>133</v>
      </c>
      <c r="C16" s="44" t="n">
        <v>0.7</v>
      </c>
      <c r="D16" s="45" t="s">
        <v>119</v>
      </c>
      <c r="E16" s="45" t="s">
        <v>134</v>
      </c>
    </row>
    <row r="17" customFormat="false" ht="19.5" hidden="false" customHeight="true" outlineLevel="0" collapsed="false">
      <c r="B17" s="53" t="s">
        <v>135</v>
      </c>
      <c r="C17" s="44" t="n">
        <v>0.3</v>
      </c>
      <c r="D17" s="45" t="s">
        <v>119</v>
      </c>
      <c r="E17" s="45" t="s">
        <v>136</v>
      </c>
    </row>
    <row r="18" customFormat="false" ht="19.5" hidden="false" customHeight="true" outlineLevel="0" collapsed="false">
      <c r="B18" s="53" t="s">
        <v>137</v>
      </c>
      <c r="C18" s="50" t="n">
        <v>15000</v>
      </c>
      <c r="D18" s="45" t="s">
        <v>125</v>
      </c>
      <c r="E18" s="45" t="s">
        <v>138</v>
      </c>
    </row>
    <row r="19" customFormat="false" ht="19.5" hidden="false" customHeight="true" outlineLevel="0" collapsed="false">
      <c r="B19" s="53" t="s">
        <v>139</v>
      </c>
      <c r="C19" s="56" t="n">
        <v>1.2</v>
      </c>
      <c r="D19" s="45" t="s">
        <v>140</v>
      </c>
      <c r="E19" s="45" t="s">
        <v>141</v>
      </c>
    </row>
    <row r="20" customFormat="false" ht="19.5" hidden="false" customHeight="true" outlineLevel="0" collapsed="false">
      <c r="B20" s="53" t="s">
        <v>142</v>
      </c>
      <c r="C20" s="50" t="n">
        <v>8</v>
      </c>
      <c r="D20" s="45" t="s">
        <v>84</v>
      </c>
      <c r="E20" s="45" t="s">
        <v>143</v>
      </c>
    </row>
    <row r="21" customFormat="false" ht="19.5" hidden="false" customHeight="true" outlineLevel="0" collapsed="false">
      <c r="B21" s="53" t="s">
        <v>144</v>
      </c>
      <c r="C21" s="50" t="n">
        <v>32</v>
      </c>
      <c r="D21" s="45" t="s">
        <v>123</v>
      </c>
      <c r="E21" s="45" t="s">
        <v>143</v>
      </c>
    </row>
    <row r="23" customFormat="false" ht="21.75" hidden="false" customHeight="true" outlineLevel="0" collapsed="false">
      <c r="B23" s="69" t="s">
        <v>145</v>
      </c>
      <c r="C23" s="69"/>
      <c r="D23" s="69"/>
      <c r="E23" s="69"/>
    </row>
    <row r="24" customFormat="false" ht="19.5" hidden="false" customHeight="true" outlineLevel="0" collapsed="false">
      <c r="B24" s="57" t="s">
        <v>146</v>
      </c>
      <c r="C24" s="58" t="n">
        <f aca="false">C10*(1+C17)</f>
        <v>520</v>
      </c>
      <c r="D24" s="36"/>
      <c r="E24" s="36" t="s">
        <v>147</v>
      </c>
    </row>
    <row r="25" customFormat="false" ht="19.5" hidden="false" customHeight="true" outlineLevel="0" collapsed="false">
      <c r="B25" s="57" t="s">
        <v>148</v>
      </c>
      <c r="C25" s="59" t="n">
        <f aca="false">CEILING(C24/C18,1)</f>
        <v>1</v>
      </c>
      <c r="D25" s="36"/>
      <c r="E25" s="36" t="s">
        <v>149</v>
      </c>
    </row>
    <row r="26" customFormat="false" ht="19.5" hidden="false" customHeight="true" outlineLevel="0" collapsed="false">
      <c r="B26" s="57" t="s">
        <v>150</v>
      </c>
      <c r="C26" s="59" t="n">
        <f aca="false">CEILING(C4*(C5/C15),1)</f>
        <v>1</v>
      </c>
      <c r="D26" s="36"/>
      <c r="E26" s="36" t="s">
        <v>151</v>
      </c>
    </row>
    <row r="27" customFormat="false" ht="19.5" hidden="false" customHeight="true" outlineLevel="0" collapsed="false">
      <c r="B27" s="57" t="s">
        <v>152</v>
      </c>
      <c r="C27" s="59" t="n">
        <f aca="false">CEILING(C4*(C6/C16),1)</f>
        <v>1</v>
      </c>
      <c r="D27" s="36"/>
      <c r="E27" s="36" t="s">
        <v>153</v>
      </c>
    </row>
    <row r="28" customFormat="false" ht="19.5" hidden="false" customHeight="true" outlineLevel="0" collapsed="false">
      <c r="B28" s="57" t="s">
        <v>154</v>
      </c>
      <c r="C28" s="59" t="n">
        <f aca="false">MAX(C25,C26,C27)</f>
        <v>1</v>
      </c>
      <c r="D28" s="36"/>
      <c r="E28" s="36" t="s">
        <v>155</v>
      </c>
    </row>
    <row r="29" customFormat="false" ht="19.5" hidden="false" customHeight="true" outlineLevel="0" collapsed="false">
      <c r="B29" s="57" t="s">
        <v>156</v>
      </c>
      <c r="C29" s="59" t="n">
        <f aca="false">CEILING(C28*C19,1)</f>
        <v>2</v>
      </c>
      <c r="D29" s="36"/>
      <c r="E29" s="36" t="s">
        <v>157</v>
      </c>
    </row>
    <row r="30" customFormat="false" ht="19.5" hidden="false" customHeight="true" outlineLevel="0" collapsed="false">
      <c r="B30" s="60" t="s">
        <v>158</v>
      </c>
      <c r="C30" s="61" t="n">
        <f aca="false">MAX(0,C29-C4)</f>
        <v>1</v>
      </c>
      <c r="D30" s="60" t="s">
        <v>159</v>
      </c>
      <c r="E30" s="62" t="s">
        <v>160</v>
      </c>
    </row>
    <row r="31" customFormat="false" ht="19.5" hidden="false" customHeight="true" outlineLevel="0" collapsed="false">
      <c r="B31" s="57" t="s">
        <v>161</v>
      </c>
      <c r="C31" s="59" t="n">
        <f aca="false">C4+C30</f>
        <v>2</v>
      </c>
      <c r="D31" s="36"/>
      <c r="E31" s="36" t="s">
        <v>162</v>
      </c>
    </row>
    <row r="32" customFormat="false" ht="19.5" hidden="false" customHeight="true" outlineLevel="0" collapsed="false">
      <c r="B32" s="57" t="s">
        <v>163</v>
      </c>
      <c r="C32" s="58" t="n">
        <f aca="false">C30*C20</f>
        <v>8</v>
      </c>
      <c r="D32" s="36"/>
      <c r="E32" s="36" t="s">
        <v>164</v>
      </c>
    </row>
    <row r="33" customFormat="false" ht="19.5" hidden="false" customHeight="true" outlineLevel="0" collapsed="false">
      <c r="B33" s="57" t="s">
        <v>165</v>
      </c>
      <c r="C33" s="58" t="n">
        <f aca="false">C30*C21</f>
        <v>32</v>
      </c>
      <c r="D33" s="36"/>
      <c r="E33" s="36" t="s">
        <v>166</v>
      </c>
    </row>
    <row r="35" customFormat="false" ht="21.75" hidden="false" customHeight="true" outlineLevel="0" collapsed="false">
      <c r="B35" s="69" t="s">
        <v>167</v>
      </c>
      <c r="C35" s="69"/>
      <c r="D35" s="69"/>
      <c r="E35" s="69"/>
    </row>
    <row r="36" customFormat="false" ht="24" hidden="false" customHeight="true" outlineLevel="0" collapsed="false">
      <c r="B36" s="63" t="s">
        <v>168</v>
      </c>
      <c r="C36" s="64" t="str">
        <f aca="false">IF(C30&gt;0,"⚠️  ADD "&amp;C30&amp;" SERVER(S) to DC4-APAC to prevent data loss","✅  Current DC4-APAC fleet is sufficient")</f>
        <v>⚠️  ADD 1 SERVER(S) to DC4-APAC to prevent data loss</v>
      </c>
      <c r="D36" s="64"/>
      <c r="E36" s="64"/>
    </row>
    <row r="37" customFormat="false" ht="24" hidden="false" customHeight="true" outlineLevel="0" collapsed="false">
      <c r="B37" s="63" t="s">
        <v>169</v>
      </c>
      <c r="C37" s="64" t="str">
        <f aca="false">IF(AND(C26&gt;=C25,C26&gt;=C27),"Memory is bottleneck",IF(AND(C27&gt;=C25,C27&gt;=C26),"Span throughput is bottleneck","CPU is bottleneck"))</f>
        <v>Memory is bottleneck</v>
      </c>
      <c r="D37" s="64"/>
      <c r="E37" s="64"/>
    </row>
    <row r="38" customFormat="false" ht="24" hidden="false" customHeight="true" outlineLevel="0" collapsed="false">
      <c r="B38" s="63" t="s">
        <v>21</v>
      </c>
      <c r="C38" s="64" t="str">
        <f aca="false">IF(C11&gt;0,"🔴 IMMEDIATE – Drops actively occurring",IF(C5&gt;0.8,"🟡 HIGH – CPU critical",IF(C6&gt;0.85,"🟡 HIGH – Memory critical","🟢 PLANNED – Scale before growth")))</f>
        <v>🔴 IMMEDIATE – Drops actively occurring</v>
      </c>
      <c r="D38" s="64"/>
      <c r="E38" s="64"/>
    </row>
    <row r="39" customFormat="false" ht="24" hidden="false" customHeight="true" outlineLevel="0" collapsed="false">
      <c r="B39" s="63" t="s">
        <v>170</v>
      </c>
      <c r="C39" s="64" t="str">
        <f aca="false">IF(C11&gt;0,"Scale within 1-2 weeks",IF(C30&gt;0,"Plan scale-out within 1-3 months","No action needed now"))</f>
        <v>Scale within 1-2 weeks</v>
      </c>
      <c r="D39" s="64"/>
      <c r="E39" s="64"/>
    </row>
  </sheetData>
  <mergeCells count="9">
    <mergeCell ref="B1:E1"/>
    <mergeCell ref="B3:E3"/>
    <mergeCell ref="B14:E14"/>
    <mergeCell ref="B23:E23"/>
    <mergeCell ref="B35:E35"/>
    <mergeCell ref="C36:E36"/>
    <mergeCell ref="C37:E37"/>
    <mergeCell ref="C38:E38"/>
    <mergeCell ref="C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2026-02-21T14:51:14Z</dcterms:created>
  <dc:creator>openpyxl</dc:creator>
  <dc:description/>
  <dc:language>en-US</dc:language>
  <cp:lastModifiedBy/>
  <dcterms:modified xsi:type="dcterms:W3CDTF">2026-02-21T14:51:14Z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